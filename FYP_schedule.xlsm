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VEAutomationTools\"/>
    </mc:Choice>
  </mc:AlternateContent>
  <bookViews>
    <workbookView xWindow="360" yWindow="330" windowWidth="14940" windowHeight="9090"/>
  </bookViews>
  <sheets>
    <sheet name="Group" sheetId="1" r:id="rId1"/>
    <sheet name="Name List" sheetId="3" r:id="rId2"/>
    <sheet name="Template" sheetId="2" r:id="rId3"/>
  </sheets>
  <definedNames>
    <definedName name="_xlnm._FilterDatabase" localSheetId="0" hidden="1">Group!$A$7:$E$47</definedName>
  </definedNames>
  <calcPr calcId="152511"/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8" i="1"/>
  <c r="G7" i="2" l="1"/>
  <c r="F18" i="2"/>
  <c r="C21" i="2"/>
  <c r="D21" i="2"/>
  <c r="F22" i="2"/>
  <c r="G22" i="2"/>
  <c r="H22" i="2"/>
  <c r="I22" i="2"/>
  <c r="F23" i="2"/>
  <c r="G23" i="2"/>
  <c r="H23" i="2"/>
  <c r="I23" i="2"/>
  <c r="F27" i="2"/>
  <c r="G27" i="2"/>
  <c r="H27" i="2"/>
  <c r="I27" i="2"/>
  <c r="F38" i="2"/>
  <c r="G38" i="2"/>
  <c r="H38" i="2"/>
  <c r="I38" i="2"/>
  <c r="F48" i="2"/>
  <c r="G48" i="2"/>
  <c r="H48" i="2"/>
  <c r="I48" i="2"/>
  <c r="F50" i="2"/>
  <c r="G50" i="2"/>
  <c r="H50" i="2"/>
  <c r="I50" i="2"/>
</calcChain>
</file>

<file path=xl/sharedStrings.xml><?xml version="1.0" encoding="utf-8"?>
<sst xmlns="http://schemas.openxmlformats.org/spreadsheetml/2006/main" count="367" uniqueCount="181">
  <si>
    <t>Class</t>
  </si>
  <si>
    <t>Name</t>
  </si>
  <si>
    <t>Chinese Name</t>
  </si>
  <si>
    <t>張浚傑</t>
  </si>
  <si>
    <t>李瀚生</t>
  </si>
  <si>
    <t>黃祖堯</t>
  </si>
  <si>
    <t>Group ID</t>
  </si>
  <si>
    <t>Supervisor</t>
  </si>
  <si>
    <t>LW896, Tel.: 39282608</t>
  </si>
  <si>
    <t>spkwong@vtc.edu.hk</t>
  </si>
  <si>
    <t>Stanley Wong</t>
  </si>
  <si>
    <t>Cyrus Wong</t>
  </si>
  <si>
    <t>LW333, Tel.: 39282662</t>
  </si>
  <si>
    <t>cywong@vtc.edu.hk</t>
  </si>
  <si>
    <t>Ada Yuen</t>
  </si>
  <si>
    <t>LW896, Tel.: 39282640</t>
  </si>
  <si>
    <t>Carmen Wong</t>
  </si>
  <si>
    <t>LW333, Tel.: 39282649</t>
  </si>
  <si>
    <t>wongyf@vtc.edu.hk</t>
  </si>
  <si>
    <t>Edward Ma</t>
  </si>
  <si>
    <t>edwardma@vtc.edu.hk</t>
  </si>
  <si>
    <t xml:space="preserve">LW897, Tel.: 39282595  </t>
  </si>
  <si>
    <t>30 April (Thu)</t>
  </si>
  <si>
    <t>9:00am - 9:25am</t>
  </si>
  <si>
    <t>9:40am - 10:05am</t>
  </si>
  <si>
    <t>2A</t>
  </si>
  <si>
    <t>(4-1)</t>
  </si>
  <si>
    <t>(4-2)</t>
  </si>
  <si>
    <t>(4-3)</t>
  </si>
  <si>
    <t>2B</t>
  </si>
  <si>
    <t>10:20am - 10:45am</t>
  </si>
  <si>
    <t>29 April (Wed)</t>
  </si>
  <si>
    <t>(3-1)</t>
  </si>
  <si>
    <t>11:00am - 11:25am</t>
  </si>
  <si>
    <t>(4-4)</t>
  </si>
  <si>
    <t>(3-2)</t>
  </si>
  <si>
    <t>(3-3)</t>
  </si>
  <si>
    <t>(3-4)</t>
  </si>
  <si>
    <t>11:40am - 12:05am</t>
  </si>
  <si>
    <t>(3-5)</t>
  </si>
  <si>
    <t>1:30pm - 1:55pm</t>
  </si>
  <si>
    <t>2:10pm - 2:35pm</t>
  </si>
  <si>
    <t>(3-6)</t>
  </si>
  <si>
    <t>(4-5)</t>
  </si>
  <si>
    <t>A536</t>
  </si>
  <si>
    <t>Overall (0-60):</t>
  </si>
  <si>
    <t>Total (0 - 10):</t>
  </si>
  <si>
    <t>Co-operation with team-mates</t>
  </si>
  <si>
    <t>Communication skills</t>
  </si>
  <si>
    <t>Resources allocation skills</t>
  </si>
  <si>
    <t>Problem handling skills</t>
  </si>
  <si>
    <t>Planning skills</t>
  </si>
  <si>
    <t>Marks (0-10)</t>
  </si>
  <si>
    <t>Project Management (10%)</t>
  </si>
  <si>
    <t>Total (0 - 5):</t>
  </si>
  <si>
    <t>Question handling skill</t>
  </si>
  <si>
    <t>Presentation and demonstration skill</t>
  </si>
  <si>
    <t>Design of operation flow in the demonstration</t>
  </si>
  <si>
    <t>System setup for the demonstration</t>
  </si>
  <si>
    <t>Preparation of the presentation</t>
  </si>
  <si>
    <t>Selected material for the presentation (completeness, appropriateness/
relativeness)</t>
  </si>
  <si>
    <t>Final Presentation and Demonstration (5%)</t>
  </si>
  <si>
    <t>Total (0 - 30):</t>
  </si>
  <si>
    <t>Quality of implementation (completeness and correctness, 
Programming projects: user-friendliness, user-interface design              Admin Project: reliability, security, manageability)</t>
    <phoneticPr fontId="4" type="noConversion"/>
  </si>
  <si>
    <t>Individual Mark (0-9)</t>
  </si>
  <si>
    <t>Group Mark (0-6)</t>
  </si>
  <si>
    <t>Contribution %
(0-100)</t>
  </si>
  <si>
    <t>(4)</t>
  </si>
  <si>
    <t>(3)</t>
  </si>
  <si>
    <t>(2)</t>
  </si>
  <si>
    <t>(1)</t>
  </si>
  <si>
    <t>Total (0 - 15):</t>
  </si>
  <si>
    <t>Critical evaluation of work</t>
  </si>
  <si>
    <t>Testing (test plan and test results)</t>
  </si>
  <si>
    <t>Design of solution (completeness and correctness, clarity, modularity
 and flexibility, and complexity)</t>
  </si>
  <si>
    <t>Problem analysis (research / literature review / background)</t>
  </si>
  <si>
    <t>Structure / document</t>
  </si>
  <si>
    <t>Weighting</t>
  </si>
  <si>
    <t>Report and Completed Product (45%)</t>
  </si>
  <si>
    <t>*-  Delete where inappropriate</t>
  </si>
  <si>
    <t>Date:</t>
  </si>
  <si>
    <t>No. of Students:</t>
  </si>
  <si>
    <t>Signature:</t>
  </si>
  <si>
    <t>Students: (1)</t>
  </si>
  <si>
    <t>Supervisor/Co-marker*:</t>
  </si>
  <si>
    <t>Project ID:</t>
  </si>
  <si>
    <t>Project Title:</t>
  </si>
  <si>
    <t>Programme/Class:</t>
  </si>
  <si>
    <t>Assessment Sheet - Final Report and Project Management (60%)</t>
  </si>
  <si>
    <t>Final Year Project (ITE4106M )</t>
  </si>
  <si>
    <t>IT114115</t>
    <phoneticPr fontId="4" type="noConversion"/>
  </si>
  <si>
    <t>Student No</t>
  </si>
  <si>
    <t>Number of Group</t>
  </si>
  <si>
    <t>(Update the number before Generate the Form)</t>
  </si>
  <si>
    <t>Student ID</t>
  </si>
  <si>
    <t>Project Title</t>
    <phoneticPr fontId="4" type="noConversion"/>
  </si>
  <si>
    <t>區永傑</t>
  </si>
  <si>
    <t>A01</t>
  </si>
  <si>
    <t>郭梓豪</t>
  </si>
  <si>
    <t>李澤康</t>
  </si>
  <si>
    <t>陳諾豪</t>
  </si>
  <si>
    <t>A02</t>
  </si>
  <si>
    <t>鄭浩邦</t>
  </si>
  <si>
    <t>伍宇鳴</t>
  </si>
  <si>
    <t>陳嘉城</t>
  </si>
  <si>
    <t>A03</t>
  </si>
  <si>
    <t>李卓凡</t>
  </si>
  <si>
    <t>鄭錦麟</t>
  </si>
  <si>
    <t>A04</t>
  </si>
  <si>
    <t>陳嘉誠</t>
  </si>
  <si>
    <t>陳聰</t>
  </si>
  <si>
    <t>謝煒燊</t>
  </si>
  <si>
    <t>陳誠豐</t>
  </si>
  <si>
    <t>A05</t>
  </si>
  <si>
    <t>馮啟誠</t>
  </si>
  <si>
    <t>林文青</t>
  </si>
  <si>
    <t>周家良</t>
  </si>
  <si>
    <t>A06</t>
  </si>
  <si>
    <t>蘇耀忠</t>
  </si>
  <si>
    <t>石俊賢</t>
  </si>
  <si>
    <t>A07</t>
  </si>
  <si>
    <t>嚴永康</t>
  </si>
  <si>
    <t>葉倚彰</t>
  </si>
  <si>
    <t>何梓軒</t>
  </si>
  <si>
    <t>A08</t>
  </si>
  <si>
    <t>唐偉能</t>
  </si>
  <si>
    <t>陳萬康</t>
  </si>
  <si>
    <t>彭寶堅</t>
  </si>
  <si>
    <t>葉司朗</t>
  </si>
  <si>
    <t>A09</t>
  </si>
  <si>
    <t>黃永賢</t>
  </si>
  <si>
    <t>鄒浩賢</t>
  </si>
  <si>
    <t>陳柏良</t>
  </si>
  <si>
    <t>A10</t>
  </si>
  <si>
    <t>YM Cheung</t>
  </si>
  <si>
    <t>招秀卿</t>
  </si>
  <si>
    <t>LW333, Tel.: 39282610</t>
  </si>
  <si>
    <t>林晉謙</t>
  </si>
  <si>
    <t>梁殷珩</t>
  </si>
  <si>
    <t>陳港昇</t>
  </si>
  <si>
    <t>B01</t>
  </si>
  <si>
    <t>劉卓霖</t>
  </si>
  <si>
    <t>黃家樂</t>
  </si>
  <si>
    <t>羅?然</t>
  </si>
  <si>
    <t>林偉健</t>
  </si>
  <si>
    <t>B02</t>
  </si>
  <si>
    <t>劉子進</t>
  </si>
  <si>
    <t>盛偉傑</t>
  </si>
  <si>
    <t>陳睿晞</t>
  </si>
  <si>
    <t>B03</t>
  </si>
  <si>
    <t>林梓峰</t>
  </si>
  <si>
    <t>王駿傑</t>
  </si>
  <si>
    <t xml:space="preserve"> adayuen@vtc.edu.hk</t>
  </si>
  <si>
    <t>李文漢</t>
  </si>
  <si>
    <t>B04</t>
  </si>
  <si>
    <t>黃濟耀</t>
  </si>
  <si>
    <t>莊儒安</t>
  </si>
  <si>
    <t>B05</t>
  </si>
  <si>
    <t>莫謹綸</t>
  </si>
  <si>
    <t>何威城</t>
  </si>
  <si>
    <t>鄺兆達</t>
  </si>
  <si>
    <t>連浩朗</t>
  </si>
  <si>
    <t>B06</t>
  </si>
  <si>
    <t>吳楚兒</t>
  </si>
  <si>
    <t>謝紹輝</t>
  </si>
  <si>
    <t>B07</t>
  </si>
  <si>
    <t>TM Law</t>
  </si>
  <si>
    <t>LW333, Tel.: 39282622</t>
  </si>
  <si>
    <t>tmlaw@vtc.edu.hk</t>
  </si>
  <si>
    <t>?方榮</t>
  </si>
  <si>
    <t>陳浩麟</t>
  </si>
  <si>
    <t>談?明</t>
  </si>
  <si>
    <t>Initial Report Date:</t>
  </si>
  <si>
    <t>Interim Report Date:</t>
  </si>
  <si>
    <t>Final Report Date:</t>
  </si>
  <si>
    <t>Programme 
Code</t>
  </si>
  <si>
    <t xml:space="preserve">Co-marker </t>
  </si>
  <si>
    <t>Year</t>
  </si>
  <si>
    <r>
      <t xml:space="preserve">Final Report Presentation and Demonstration
(Each team has </t>
    </r>
    <r>
      <rPr>
        <b/>
        <sz val="12"/>
        <color indexed="10"/>
        <rFont val="Arial"/>
        <family val="2"/>
      </rPr>
      <t>25 miniutes</t>
    </r>
    <r>
      <rPr>
        <b/>
        <sz val="12"/>
        <rFont val="Arial"/>
        <family val="2"/>
      </rPr>
      <t xml:space="preserve"> to present and demo its project (excluding Q&amp;A))
(Students are required to present in English)</t>
    </r>
  </si>
  <si>
    <t>Semester 1 Teacher</t>
  </si>
  <si>
    <t>Semester 2 Teacher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</si>
</sst>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6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9"/>
      <name val="細明體"/>
      <family val="3"/>
      <charset val="136"/>
    </font>
    <font>
      <sz val="12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sz val="12"/>
      <color indexed="10"/>
      <name val="Times New Roman"/>
      <family val="1"/>
    </font>
    <font>
      <u/>
      <sz val="12"/>
      <name val="Times New Roman"/>
      <family val="1"/>
    </font>
    <font>
      <sz val="11"/>
      <name val="Times New Roman"/>
      <family val="1"/>
    </font>
    <font>
      <b/>
      <sz val="16"/>
      <name val="Times New Roman"/>
      <family val="1"/>
    </font>
    <font>
      <b/>
      <sz val="14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18"/>
      <name val="Arial"/>
      <family val="2"/>
    </font>
    <font>
      <sz val="26"/>
      <color rgb="FFFF000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>
      <alignment vertical="center"/>
    </xf>
  </cellStyleXfs>
  <cellXfs count="14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/>
    <xf numFmtId="0" fontId="1" fillId="0" borderId="0" xfId="2">
      <alignment vertical="center"/>
    </xf>
    <xf numFmtId="0" fontId="5" fillId="0" borderId="0" xfId="2" applyFont="1" applyAlignment="1">
      <alignment horizontal="right" vertical="center"/>
    </xf>
    <xf numFmtId="0" fontId="5" fillId="0" borderId="0" xfId="2" applyFont="1">
      <alignment vertical="center"/>
    </xf>
    <xf numFmtId="0" fontId="6" fillId="0" borderId="0" xfId="2" applyFont="1">
      <alignment vertical="center"/>
    </xf>
    <xf numFmtId="0" fontId="7" fillId="4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right" vertical="center"/>
    </xf>
    <xf numFmtId="0" fontId="7" fillId="0" borderId="0" xfId="2" applyFont="1" applyAlignment="1">
      <alignment horizontal="right" vertical="center"/>
    </xf>
    <xf numFmtId="0" fontId="7" fillId="0" borderId="0" xfId="2" applyFont="1">
      <alignment vertical="center"/>
    </xf>
    <xf numFmtId="0" fontId="7" fillId="5" borderId="1" xfId="2" applyFont="1" applyFill="1" applyBorder="1" applyAlignment="1">
      <alignment horizontal="center" vertical="center"/>
    </xf>
    <xf numFmtId="0" fontId="7" fillId="0" borderId="32" xfId="2" applyFont="1" applyBorder="1" applyAlignment="1" applyProtection="1">
      <alignment horizontal="center" vertical="center" wrapText="1"/>
      <protection locked="0"/>
    </xf>
    <xf numFmtId="164" fontId="7" fillId="0" borderId="0" xfId="2" applyNumberFormat="1" applyFont="1" applyAlignment="1">
      <alignment horizontal="right"/>
    </xf>
    <xf numFmtId="0" fontId="7" fillId="0" borderId="41" xfId="2" applyFont="1" applyBorder="1" applyAlignment="1" applyProtection="1">
      <alignment horizontal="center" vertical="center" wrapText="1"/>
      <protection locked="0"/>
    </xf>
    <xf numFmtId="0" fontId="7" fillId="0" borderId="42" xfId="2" applyFont="1" applyBorder="1" applyAlignment="1" applyProtection="1">
      <alignment horizontal="center" vertical="center" wrapText="1"/>
      <protection locked="0"/>
    </xf>
    <xf numFmtId="0" fontId="7" fillId="0" borderId="1" xfId="2" applyFont="1" applyBorder="1" applyAlignment="1" applyProtection="1">
      <alignment horizontal="center" vertical="center" wrapText="1"/>
      <protection locked="0"/>
    </xf>
    <xf numFmtId="164" fontId="7" fillId="0" borderId="0" xfId="2" applyNumberFormat="1" applyFont="1">
      <alignment vertical="center"/>
    </xf>
    <xf numFmtId="0" fontId="7" fillId="0" borderId="0" xfId="2" applyFont="1" applyAlignment="1">
      <alignment horizontal="right" vertical="top"/>
    </xf>
    <xf numFmtId="0" fontId="7" fillId="0" borderId="0" xfId="2" applyFont="1" applyBorder="1" applyAlignment="1">
      <alignment vertical="center" wrapText="1"/>
    </xf>
    <xf numFmtId="0" fontId="7" fillId="0" borderId="0" xfId="2" applyFont="1" applyBorder="1">
      <alignment vertical="center"/>
    </xf>
    <xf numFmtId="164" fontId="7" fillId="0" borderId="0" xfId="2" applyNumberFormat="1" applyFont="1" applyAlignment="1">
      <alignment horizontal="right" vertical="center"/>
    </xf>
    <xf numFmtId="0" fontId="7" fillId="0" borderId="0" xfId="2" applyFont="1" applyAlignment="1">
      <alignment vertical="top"/>
    </xf>
    <xf numFmtId="0" fontId="7" fillId="5" borderId="1" xfId="2" applyFont="1" applyFill="1" applyBorder="1" applyAlignment="1">
      <alignment horizontal="center" vertical="center" wrapText="1"/>
    </xf>
    <xf numFmtId="0" fontId="11" fillId="0" borderId="0" xfId="2" applyFont="1">
      <alignment vertical="center"/>
    </xf>
    <xf numFmtId="0" fontId="8" fillId="0" borderId="0" xfId="2" applyFont="1" applyAlignment="1">
      <alignment horizontal="right" vertical="center" wrapText="1"/>
    </xf>
    <xf numFmtId="0" fontId="12" fillId="0" borderId="0" xfId="2" applyFont="1" applyAlignment="1">
      <alignment vertical="center" wrapText="1"/>
    </xf>
    <xf numFmtId="0" fontId="12" fillId="0" borderId="0" xfId="2" applyFont="1">
      <alignment vertical="center"/>
    </xf>
    <xf numFmtId="49" fontId="7" fillId="0" borderId="43" xfId="2" applyNumberFormat="1" applyFont="1" applyBorder="1" applyAlignment="1">
      <alignment horizontal="center" vertical="center" wrapText="1"/>
    </xf>
    <xf numFmtId="0" fontId="7" fillId="0" borderId="0" xfId="2" applyFont="1" applyFill="1" applyBorder="1" applyAlignment="1">
      <alignment horizontal="center" vertical="center"/>
    </xf>
    <xf numFmtId="0" fontId="7" fillId="6" borderId="33" xfId="2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 wrapText="1"/>
    </xf>
    <xf numFmtId="0" fontId="7" fillId="0" borderId="31" xfId="2" applyFont="1" applyBorder="1" applyAlignment="1" applyProtection="1">
      <alignment horizontal="center" vertical="center" wrapText="1"/>
      <protection locked="0"/>
    </xf>
    <xf numFmtId="0" fontId="7" fillId="0" borderId="30" xfId="2" applyFont="1" applyBorder="1" applyAlignment="1" applyProtection="1">
      <alignment horizontal="center" vertical="center" wrapText="1"/>
      <protection locked="0"/>
    </xf>
    <xf numFmtId="0" fontId="9" fillId="0" borderId="0" xfId="2" applyFont="1" applyAlignment="1">
      <alignment horizontal="center" vertical="center"/>
    </xf>
    <xf numFmtId="0" fontId="13" fillId="0" borderId="0" xfId="2" applyFont="1" applyAlignment="1">
      <alignment horizontal="center"/>
    </xf>
    <xf numFmtId="49" fontId="14" fillId="0" borderId="43" xfId="2" applyNumberFormat="1" applyFont="1" applyBorder="1" applyProtection="1">
      <alignment vertical="center"/>
      <protection locked="0"/>
    </xf>
    <xf numFmtId="49" fontId="7" fillId="0" borderId="0" xfId="2" applyNumberFormat="1" applyFont="1" applyAlignment="1">
      <alignment horizontal="right" vertical="center"/>
    </xf>
    <xf numFmtId="0" fontId="7" fillId="0" borderId="0" xfId="2" applyFont="1" applyAlignment="1">
      <alignment horizontal="distributed" vertical="center"/>
    </xf>
    <xf numFmtId="0" fontId="7" fillId="0" borderId="43" xfId="2" applyFont="1" applyBorder="1" applyAlignment="1" applyProtection="1">
      <alignment horizontal="center" vertical="center"/>
      <protection locked="0"/>
    </xf>
    <xf numFmtId="0" fontId="7" fillId="0" borderId="43" xfId="2" applyFont="1" applyBorder="1" applyProtection="1">
      <alignment vertical="center"/>
      <protection locked="0"/>
    </xf>
    <xf numFmtId="0" fontId="1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" fillId="0" borderId="44" xfId="0" applyFont="1" applyBorder="1" applyAlignment="1">
      <alignment horizontal="left" wrapText="1"/>
    </xf>
    <xf numFmtId="0" fontId="1" fillId="0" borderId="44" xfId="0" applyFont="1" applyBorder="1"/>
    <xf numFmtId="0" fontId="1" fillId="0" borderId="44" xfId="0" applyFont="1" applyBorder="1" applyAlignment="1">
      <alignment horizontal="right"/>
    </xf>
    <xf numFmtId="0" fontId="16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14" fontId="18" fillId="0" borderId="0" xfId="0" applyNumberFormat="1" applyFont="1" applyBorder="1" applyAlignment="1">
      <alignment vertical="center"/>
    </xf>
    <xf numFmtId="49" fontId="18" fillId="0" borderId="0" xfId="0" applyNumberFormat="1" applyFont="1"/>
    <xf numFmtId="0" fontId="18" fillId="0" borderId="0" xfId="0" applyFont="1" applyAlignment="1">
      <alignment wrapText="1"/>
    </xf>
    <xf numFmtId="0" fontId="18" fillId="8" borderId="0" xfId="0" applyFont="1" applyFill="1"/>
    <xf numFmtId="0" fontId="22" fillId="2" borderId="2" xfId="0" applyFont="1" applyFill="1" applyBorder="1" applyAlignment="1">
      <alignment horizontal="left" wrapText="1"/>
    </xf>
    <xf numFmtId="0" fontId="22" fillId="2" borderId="3" xfId="0" applyFont="1" applyFill="1" applyBorder="1" applyAlignment="1">
      <alignment horizontal="left" wrapText="1"/>
    </xf>
    <xf numFmtId="0" fontId="22" fillId="2" borderId="4" xfId="0" applyFont="1" applyFill="1" applyBorder="1" applyAlignment="1">
      <alignment horizontal="left" wrapText="1"/>
    </xf>
    <xf numFmtId="0" fontId="22" fillId="2" borderId="4" xfId="0" applyFont="1" applyFill="1" applyBorder="1" applyAlignment="1">
      <alignment horizontal="center" wrapText="1"/>
    </xf>
    <xf numFmtId="0" fontId="22" fillId="2" borderId="5" xfId="0" applyFont="1" applyFill="1" applyBorder="1" applyAlignment="1">
      <alignment horizontal="center" wrapText="1"/>
    </xf>
    <xf numFmtId="0" fontId="22" fillId="2" borderId="6" xfId="0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center" wrapText="1"/>
    </xf>
    <xf numFmtId="0" fontId="21" fillId="7" borderId="36" xfId="0" applyFont="1" applyFill="1" applyBorder="1" applyAlignment="1">
      <alignment horizontal="center" wrapText="1"/>
    </xf>
    <xf numFmtId="0" fontId="21" fillId="7" borderId="7" xfId="0" applyFont="1" applyFill="1" applyBorder="1" applyAlignment="1">
      <alignment horizontal="left" wrapText="1"/>
    </xf>
    <xf numFmtId="0" fontId="21" fillId="7" borderId="8" xfId="0" applyFont="1" applyFill="1" applyBorder="1" applyAlignment="1">
      <alignment horizontal="left" wrapText="1"/>
    </xf>
    <xf numFmtId="0" fontId="21" fillId="7" borderId="8" xfId="0" applyFont="1" applyFill="1" applyBorder="1" applyAlignment="1">
      <alignment horizontal="center" wrapText="1"/>
    </xf>
    <xf numFmtId="0" fontId="21" fillId="7" borderId="9" xfId="0" applyFont="1" applyFill="1" applyBorder="1" applyAlignment="1">
      <alignment horizontal="center"/>
    </xf>
    <xf numFmtId="0" fontId="21" fillId="7" borderId="35" xfId="0" applyFont="1" applyFill="1" applyBorder="1" applyAlignment="1">
      <alignment horizontal="center"/>
    </xf>
    <xf numFmtId="49" fontId="24" fillId="7" borderId="30" xfId="0" applyNumberFormat="1" applyFont="1" applyFill="1" applyBorder="1" applyAlignment="1">
      <alignment horizontal="center"/>
    </xf>
    <xf numFmtId="0" fontId="21" fillId="7" borderId="37" xfId="0" applyFont="1" applyFill="1" applyBorder="1" applyAlignment="1">
      <alignment horizontal="center" wrapText="1"/>
    </xf>
    <xf numFmtId="0" fontId="21" fillId="7" borderId="10" xfId="0" applyFont="1" applyFill="1" applyBorder="1" applyAlignment="1">
      <alignment horizontal="left" wrapText="1"/>
    </xf>
    <xf numFmtId="0" fontId="21" fillId="7" borderId="11" xfId="0" applyFont="1" applyFill="1" applyBorder="1" applyAlignment="1">
      <alignment horizontal="center" wrapText="1"/>
    </xf>
    <xf numFmtId="0" fontId="21" fillId="7" borderId="12" xfId="0" applyFont="1" applyFill="1" applyBorder="1" applyAlignment="1">
      <alignment horizontal="center"/>
    </xf>
    <xf numFmtId="0" fontId="21" fillId="7" borderId="13" xfId="0" applyFont="1" applyFill="1" applyBorder="1" applyAlignment="1">
      <alignment horizontal="center"/>
    </xf>
    <xf numFmtId="49" fontId="24" fillId="7" borderId="31" xfId="0" applyNumberFormat="1" applyFont="1" applyFill="1" applyBorder="1" applyAlignment="1">
      <alignment horizontal="center"/>
    </xf>
    <xf numFmtId="0" fontId="21" fillId="7" borderId="38" xfId="0" applyFont="1" applyFill="1" applyBorder="1" applyAlignment="1">
      <alignment horizontal="center" wrapText="1"/>
    </xf>
    <xf numFmtId="0" fontId="21" fillId="7" borderId="23" xfId="0" applyFont="1" applyFill="1" applyBorder="1" applyAlignment="1">
      <alignment horizontal="left" wrapText="1"/>
    </xf>
    <xf numFmtId="0" fontId="25" fillId="7" borderId="12" xfId="1" applyFont="1" applyFill="1" applyBorder="1" applyAlignment="1">
      <alignment horizontal="center"/>
    </xf>
    <xf numFmtId="0" fontId="25" fillId="7" borderId="13" xfId="1" applyFont="1" applyFill="1" applyBorder="1" applyAlignment="1">
      <alignment horizontal="center"/>
    </xf>
    <xf numFmtId="0" fontId="21" fillId="7" borderId="25" xfId="0" applyFont="1" applyFill="1" applyBorder="1" applyAlignment="1">
      <alignment horizontal="center" wrapText="1"/>
    </xf>
    <xf numFmtId="0" fontId="21" fillId="7" borderId="26" xfId="0" applyFont="1" applyFill="1" applyBorder="1" applyAlignment="1">
      <alignment horizontal="left" wrapText="1"/>
    </xf>
    <xf numFmtId="0" fontId="21" fillId="7" borderId="15" xfId="0" applyFont="1" applyFill="1" applyBorder="1" applyAlignment="1">
      <alignment horizontal="center" wrapText="1"/>
    </xf>
    <xf numFmtId="0" fontId="25" fillId="7" borderId="28" xfId="1" applyFont="1" applyFill="1" applyBorder="1" applyAlignment="1">
      <alignment horizontal="center"/>
    </xf>
    <xf numFmtId="0" fontId="25" fillId="7" borderId="29" xfId="1" applyFont="1" applyFill="1" applyBorder="1" applyAlignment="1">
      <alignment horizontal="center"/>
    </xf>
    <xf numFmtId="49" fontId="24" fillId="7" borderId="32" xfId="0" applyNumberFormat="1" applyFont="1" applyFill="1" applyBorder="1" applyAlignment="1">
      <alignment horizontal="center"/>
    </xf>
    <xf numFmtId="0" fontId="21" fillId="7" borderId="39" xfId="0" applyFont="1" applyFill="1" applyBorder="1" applyAlignment="1">
      <alignment horizontal="center" wrapText="1"/>
    </xf>
    <xf numFmtId="0" fontId="21" fillId="7" borderId="14" xfId="0" applyFont="1" applyFill="1" applyBorder="1" applyAlignment="1">
      <alignment horizontal="left" wrapText="1"/>
    </xf>
    <xf numFmtId="0" fontId="21" fillId="7" borderId="16" xfId="0" applyFont="1" applyFill="1" applyBorder="1" applyAlignment="1">
      <alignment horizontal="center"/>
    </xf>
    <xf numFmtId="0" fontId="21" fillId="7" borderId="17" xfId="0" applyFont="1" applyFill="1" applyBorder="1" applyAlignment="1">
      <alignment horizontal="center"/>
    </xf>
    <xf numFmtId="49" fontId="24" fillId="7" borderId="33" xfId="0" applyNumberFormat="1" applyFont="1" applyFill="1" applyBorder="1" applyAlignment="1">
      <alignment horizontal="center"/>
    </xf>
    <xf numFmtId="0" fontId="24" fillId="7" borderId="7" xfId="0" applyFont="1" applyFill="1" applyBorder="1" applyAlignment="1">
      <alignment horizontal="left" wrapText="1"/>
    </xf>
    <xf numFmtId="0" fontId="24" fillId="7" borderId="10" xfId="0" applyFont="1" applyFill="1" applyBorder="1" applyAlignment="1">
      <alignment horizontal="left" wrapText="1"/>
    </xf>
    <xf numFmtId="0" fontId="24" fillId="7" borderId="14" xfId="0" applyFont="1" applyFill="1" applyBorder="1" applyAlignment="1">
      <alignment horizontal="left" wrapText="1"/>
    </xf>
    <xf numFmtId="0" fontId="21" fillId="7" borderId="24" xfId="0" applyFont="1" applyFill="1" applyBorder="1" applyAlignment="1">
      <alignment horizontal="center" wrapText="1"/>
    </xf>
    <xf numFmtId="0" fontId="21" fillId="7" borderId="18" xfId="0" applyFont="1" applyFill="1" applyBorder="1" applyAlignment="1">
      <alignment horizontal="center" wrapText="1"/>
    </xf>
    <xf numFmtId="0" fontId="21" fillId="7" borderId="19" xfId="0" applyFont="1" applyFill="1" applyBorder="1" applyAlignment="1">
      <alignment horizontal="left" wrapText="1"/>
    </xf>
    <xf numFmtId="0" fontId="21" fillId="7" borderId="20" xfId="0" applyFont="1" applyFill="1" applyBorder="1" applyAlignment="1">
      <alignment horizontal="center" wrapText="1"/>
    </xf>
    <xf numFmtId="0" fontId="25" fillId="7" borderId="21" xfId="1" applyFont="1" applyFill="1" applyBorder="1" applyAlignment="1">
      <alignment horizontal="center"/>
    </xf>
    <xf numFmtId="0" fontId="25" fillId="7" borderId="22" xfId="1" applyFont="1" applyFill="1" applyBorder="1" applyAlignment="1">
      <alignment horizontal="center"/>
    </xf>
    <xf numFmtId="49" fontId="24" fillId="7" borderId="34" xfId="0" applyNumberFormat="1" applyFont="1" applyFill="1" applyBorder="1" applyAlignment="1">
      <alignment horizontal="center"/>
    </xf>
    <xf numFmtId="0" fontId="21" fillId="7" borderId="27" xfId="0" applyFont="1" applyFill="1" applyBorder="1" applyAlignment="1">
      <alignment horizontal="center" wrapText="1"/>
    </xf>
    <xf numFmtId="0" fontId="21" fillId="3" borderId="36" xfId="0" applyFont="1" applyFill="1" applyBorder="1" applyAlignment="1">
      <alignment horizontal="center" wrapText="1"/>
    </xf>
    <xf numFmtId="0" fontId="21" fillId="3" borderId="7" xfId="0" applyFont="1" applyFill="1" applyBorder="1" applyAlignment="1">
      <alignment horizontal="left" wrapText="1"/>
    </xf>
    <xf numFmtId="0" fontId="21" fillId="3" borderId="8" xfId="0" applyFont="1" applyFill="1" applyBorder="1" applyAlignment="1">
      <alignment horizontal="center" wrapText="1"/>
    </xf>
    <xf numFmtId="0" fontId="21" fillId="3" borderId="9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49" fontId="24" fillId="3" borderId="30" xfId="0" applyNumberFormat="1" applyFont="1" applyFill="1" applyBorder="1" applyAlignment="1">
      <alignment horizontal="center"/>
    </xf>
    <xf numFmtId="0" fontId="21" fillId="3" borderId="37" xfId="0" applyFont="1" applyFill="1" applyBorder="1" applyAlignment="1">
      <alignment horizontal="center" wrapText="1"/>
    </xf>
    <xf numFmtId="0" fontId="21" fillId="3" borderId="10" xfId="0" applyFont="1" applyFill="1" applyBorder="1" applyAlignment="1">
      <alignment horizontal="left" wrapText="1"/>
    </xf>
    <xf numFmtId="0" fontId="21" fillId="3" borderId="11" xfId="0" applyFont="1" applyFill="1" applyBorder="1" applyAlignment="1">
      <alignment horizontal="center" wrapText="1"/>
    </xf>
    <xf numFmtId="0" fontId="21" fillId="3" borderId="12" xfId="0" applyFont="1" applyFill="1" applyBorder="1" applyAlignment="1">
      <alignment horizontal="center"/>
    </xf>
    <xf numFmtId="0" fontId="21" fillId="3" borderId="13" xfId="0" applyFont="1" applyFill="1" applyBorder="1" applyAlignment="1">
      <alignment horizontal="center"/>
    </xf>
    <xf numFmtId="49" fontId="24" fillId="3" borderId="31" xfId="0" applyNumberFormat="1" applyFont="1" applyFill="1" applyBorder="1" applyAlignment="1">
      <alignment horizontal="center"/>
    </xf>
    <xf numFmtId="0" fontId="25" fillId="3" borderId="12" xfId="1" applyFont="1" applyFill="1" applyBorder="1" applyAlignment="1">
      <alignment horizontal="center"/>
    </xf>
    <xf numFmtId="0" fontId="25" fillId="3" borderId="13" xfId="1" applyFont="1" applyFill="1" applyBorder="1" applyAlignment="1">
      <alignment horizontal="center"/>
    </xf>
    <xf numFmtId="0" fontId="21" fillId="3" borderId="39" xfId="0" applyFont="1" applyFill="1" applyBorder="1" applyAlignment="1">
      <alignment horizontal="center" wrapText="1"/>
    </xf>
    <xf numFmtId="0" fontId="21" fillId="3" borderId="14" xfId="0" applyFont="1" applyFill="1" applyBorder="1" applyAlignment="1">
      <alignment horizontal="left" wrapText="1"/>
    </xf>
    <xf numFmtId="0" fontId="21" fillId="3" borderId="15" xfId="0" applyFont="1" applyFill="1" applyBorder="1" applyAlignment="1">
      <alignment horizontal="center" wrapText="1"/>
    </xf>
    <xf numFmtId="0" fontId="21" fillId="3" borderId="16" xfId="0" applyFont="1" applyFill="1" applyBorder="1" applyAlignment="1">
      <alignment horizontal="center"/>
    </xf>
    <xf numFmtId="0" fontId="21" fillId="3" borderId="17" xfId="0" applyFont="1" applyFill="1" applyBorder="1" applyAlignment="1">
      <alignment horizontal="center"/>
    </xf>
    <xf numFmtId="49" fontId="24" fillId="3" borderId="33" xfId="0" applyNumberFormat="1" applyFont="1" applyFill="1" applyBorder="1" applyAlignment="1">
      <alignment horizontal="center"/>
    </xf>
    <xf numFmtId="0" fontId="21" fillId="3" borderId="11" xfId="0" applyFont="1" applyFill="1" applyBorder="1" applyAlignment="1">
      <alignment horizontal="left" wrapText="1"/>
    </xf>
    <xf numFmtId="0" fontId="21" fillId="3" borderId="15" xfId="0" applyFont="1" applyFill="1" applyBorder="1" applyAlignment="1">
      <alignment horizontal="left" wrapText="1"/>
    </xf>
    <xf numFmtId="0" fontId="21" fillId="3" borderId="8" xfId="0" applyFont="1" applyFill="1" applyBorder="1" applyAlignment="1">
      <alignment horizontal="left" wrapText="1"/>
    </xf>
    <xf numFmtId="0" fontId="7" fillId="0" borderId="0" xfId="2" applyFont="1">
      <alignment vertical="center"/>
    </xf>
    <xf numFmtId="0" fontId="10" fillId="0" borderId="0" xfId="2" applyFont="1" applyAlignment="1">
      <alignment horizontal="left" vertical="center"/>
    </xf>
    <xf numFmtId="0" fontId="7" fillId="0" borderId="0" xfId="2" applyFont="1" applyAlignment="1"/>
    <xf numFmtId="0" fontId="7" fillId="0" borderId="40" xfId="2" applyFont="1" applyBorder="1">
      <alignment vertical="center"/>
    </xf>
    <xf numFmtId="0" fontId="9" fillId="0" borderId="0" xfId="2" applyFont="1" applyAlignment="1">
      <alignment horizontal="center" vertical="center" wrapText="1"/>
    </xf>
    <xf numFmtId="0" fontId="7" fillId="0" borderId="0" xfId="2" applyFont="1" applyAlignment="1">
      <alignment horizontal="left" vertical="center" wrapText="1"/>
    </xf>
    <xf numFmtId="0" fontId="7" fillId="0" borderId="0" xfId="2" applyFont="1" applyAlignment="1">
      <alignment horizontal="left" vertical="center"/>
    </xf>
    <xf numFmtId="0" fontId="7" fillId="0" borderId="0" xfId="2" applyFont="1" applyAlignment="1">
      <alignment wrapText="1"/>
    </xf>
    <xf numFmtId="0" fontId="16" fillId="0" borderId="0" xfId="2" applyFont="1" applyAlignment="1">
      <alignment horizontal="center" vertical="center"/>
    </xf>
    <xf numFmtId="0" fontId="13" fillId="0" borderId="0" xfId="2" applyFont="1" applyAlignment="1">
      <alignment horizontal="center"/>
    </xf>
    <xf numFmtId="0" fontId="7" fillId="0" borderId="40" xfId="2" applyFont="1" applyBorder="1" applyAlignment="1" applyProtection="1">
      <alignment horizontal="center" vertical="center"/>
      <protection locked="0"/>
    </xf>
    <xf numFmtId="0" fontId="7" fillId="0" borderId="43" xfId="2" applyFont="1" applyBorder="1" applyAlignment="1" applyProtection="1">
      <alignment horizontal="center" vertical="center"/>
      <protection locked="0"/>
    </xf>
    <xf numFmtId="0" fontId="15" fillId="0" borderId="0" xfId="2" applyFont="1" applyAlignment="1">
      <alignment horizontal="center" vertical="center"/>
    </xf>
    <xf numFmtId="0" fontId="8" fillId="0" borderId="40" xfId="2" applyFont="1" applyBorder="1" applyAlignment="1" applyProtection="1">
      <alignment horizontal="center" vertical="center"/>
      <protection locked="0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4</xdr:row>
          <xdr:rowOff>76200</xdr:rowOff>
        </xdr:from>
        <xdr:to>
          <xdr:col>5</xdr:col>
          <xdr:colOff>1485900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ywong@vtc.edu.hk" TargetMode="External"/><Relationship Id="rId13" Type="http://schemas.openxmlformats.org/officeDocument/2006/relationships/hyperlink" Target="mailto:edwardma@vtc.edu.hk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mailto:wongyf@vtc.edu.hk" TargetMode="External"/><Relationship Id="rId7" Type="http://schemas.openxmlformats.org/officeDocument/2006/relationships/hyperlink" Target="mailto:edwardma@vtc.edu.hk" TargetMode="External"/><Relationship Id="rId12" Type="http://schemas.openxmlformats.org/officeDocument/2006/relationships/hyperlink" Target="mailto:cywong@vtc.edu.hk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wongyf@vtc.edu.hk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mailto:cywong@vtc.edu.hk" TargetMode="External"/><Relationship Id="rId6" Type="http://schemas.openxmlformats.org/officeDocument/2006/relationships/hyperlink" Target="mailto:spkwong@vtc.edu.hk" TargetMode="External"/><Relationship Id="rId11" Type="http://schemas.openxmlformats.org/officeDocument/2006/relationships/hyperlink" Target="mailto:wongyf@vtc.edu.hk" TargetMode="External"/><Relationship Id="rId5" Type="http://schemas.openxmlformats.org/officeDocument/2006/relationships/hyperlink" Target="mailto:spkwong@vtc.edu.hk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cywong@vtc.edu.hk" TargetMode="External"/><Relationship Id="rId4" Type="http://schemas.openxmlformats.org/officeDocument/2006/relationships/hyperlink" Target="mailto:spkwong@vtc.edu.hk" TargetMode="External"/><Relationship Id="rId9" Type="http://schemas.openxmlformats.org/officeDocument/2006/relationships/hyperlink" Target="mailto:cywong@vtc.edu.hk" TargetMode="External"/><Relationship Id="rId14" Type="http://schemas.openxmlformats.org/officeDocument/2006/relationships/hyperlink" Target="mailto:spkwong@vtc.edu.h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79"/>
  <sheetViews>
    <sheetView tabSelected="1" zoomScaleNormal="100" workbookViewId="0">
      <selection activeCell="I8" sqref="I8:I75"/>
    </sheetView>
  </sheetViews>
  <sheetFormatPr defaultRowHeight="12.75"/>
  <cols>
    <col min="1" max="1" width="22.7109375" bestFit="1" customWidth="1"/>
    <col min="2" max="2" width="24" bestFit="1" customWidth="1"/>
    <col min="3" max="3" width="9.85546875" customWidth="1"/>
    <col min="4" max="4" width="12.85546875" bestFit="1" customWidth="1"/>
    <col min="5" max="5" width="11.5703125" style="1" customWidth="1"/>
    <col min="6" max="6" width="26.28515625" style="1" bestFit="1" customWidth="1"/>
    <col min="7" max="7" width="15.42578125" style="1" bestFit="1" customWidth="1"/>
    <col min="8" max="8" width="45" customWidth="1"/>
    <col min="9" max="9" width="56.7109375" bestFit="1" customWidth="1"/>
    <col min="10" max="10" width="8.85546875" style="3" customWidth="1"/>
    <col min="11" max="11" width="21.42578125" bestFit="1" customWidth="1"/>
    <col min="12" max="12" width="12.7109375" bestFit="1" customWidth="1"/>
  </cols>
  <sheetData>
    <row r="1" spans="1:10" s="44" customFormat="1" ht="36.75" thickBot="1">
      <c r="A1" s="55" t="s">
        <v>175</v>
      </c>
      <c r="B1" s="50" t="s">
        <v>90</v>
      </c>
      <c r="E1" s="51"/>
      <c r="F1" s="52" t="s">
        <v>172</v>
      </c>
      <c r="G1" s="53">
        <v>42328</v>
      </c>
      <c r="I1" s="62" t="s">
        <v>176</v>
      </c>
      <c r="J1" s="54"/>
    </row>
    <row r="2" spans="1:10" s="44" customFormat="1" ht="18">
      <c r="A2" s="44" t="s">
        <v>177</v>
      </c>
      <c r="B2" s="44">
        <v>1516</v>
      </c>
      <c r="E2" s="51"/>
      <c r="F2" s="52" t="s">
        <v>173</v>
      </c>
      <c r="G2" s="53">
        <v>42356</v>
      </c>
      <c r="I2" s="69" t="s">
        <v>179</v>
      </c>
      <c r="J2" s="54"/>
    </row>
    <row r="3" spans="1:10" s="44" customFormat="1" ht="18">
      <c r="A3" s="44" t="s">
        <v>92</v>
      </c>
      <c r="B3" s="56">
        <v>17</v>
      </c>
      <c r="E3" s="51"/>
      <c r="F3" s="52" t="s">
        <v>174</v>
      </c>
      <c r="G3" s="53">
        <v>42489</v>
      </c>
      <c r="I3" s="75" t="s">
        <v>180</v>
      </c>
      <c r="J3" s="54"/>
    </row>
    <row r="4" spans="1:10" s="44" customFormat="1" ht="18">
      <c r="B4" s="44" t="s">
        <v>93</v>
      </c>
      <c r="E4" s="51"/>
      <c r="F4" s="51"/>
      <c r="G4" s="51"/>
      <c r="J4" s="54"/>
    </row>
    <row r="5" spans="1:10">
      <c r="B5" s="43"/>
      <c r="E5" s="2"/>
    </row>
    <row r="6" spans="1:10" ht="33.75" thickBot="1">
      <c r="A6" s="45"/>
      <c r="B6" s="44"/>
      <c r="C6" s="46"/>
      <c r="D6" s="43"/>
    </row>
    <row r="7" spans="1:10" ht="95.25" thickBot="1">
      <c r="A7" s="57" t="s">
        <v>0</v>
      </c>
      <c r="B7" s="58" t="s">
        <v>1</v>
      </c>
      <c r="C7" s="58" t="s">
        <v>2</v>
      </c>
      <c r="D7" s="59" t="s">
        <v>94</v>
      </c>
      <c r="E7" s="60" t="s">
        <v>6</v>
      </c>
      <c r="F7" s="61" t="s">
        <v>7</v>
      </c>
      <c r="G7" s="62" t="s">
        <v>176</v>
      </c>
      <c r="H7" s="63" t="s">
        <v>178</v>
      </c>
      <c r="I7" s="63" t="s">
        <v>95</v>
      </c>
    </row>
    <row r="8" spans="1:10" ht="15.75" thickBot="1">
      <c r="A8" s="64" t="s">
        <v>25</v>
      </c>
      <c r="B8" s="65"/>
      <c r="C8" s="65"/>
      <c r="D8" s="66" t="str">
        <f>_xlfn.IFNA(VLOOKUP(C8,'Name List'!$A$2:$B$57,2,FALSE),"")</f>
        <v/>
      </c>
      <c r="E8" s="67" t="s">
        <v>97</v>
      </c>
      <c r="F8" s="68" t="s">
        <v>10</v>
      </c>
      <c r="G8" s="69"/>
      <c r="H8" s="70" t="s">
        <v>22</v>
      </c>
      <c r="I8" s="70"/>
      <c r="J8" s="4"/>
    </row>
    <row r="9" spans="1:10" ht="15.75" thickBot="1">
      <c r="A9" s="71" t="s">
        <v>25</v>
      </c>
      <c r="B9" s="72"/>
      <c r="C9" s="72"/>
      <c r="D9" s="66" t="str">
        <f>_xlfn.IFNA(VLOOKUP(C9,'Name List'!$A$2:$B$57,2,FALSE),"")</f>
        <v/>
      </c>
      <c r="E9" s="73" t="s">
        <v>97</v>
      </c>
      <c r="F9" s="74" t="s">
        <v>8</v>
      </c>
      <c r="G9" s="75"/>
      <c r="H9" s="76" t="s">
        <v>38</v>
      </c>
      <c r="I9" s="76"/>
    </row>
    <row r="10" spans="1:10" ht="15.75" thickBot="1">
      <c r="A10" s="77" t="s">
        <v>25</v>
      </c>
      <c r="B10" s="78"/>
      <c r="C10" s="78"/>
      <c r="D10" s="66" t="str">
        <f>_xlfn.IFNA(VLOOKUP(C10,'Name List'!$A$2:$B$57,2,FALSE),"")</f>
        <v/>
      </c>
      <c r="E10" s="73" t="s">
        <v>97</v>
      </c>
      <c r="F10" s="79" t="s">
        <v>9</v>
      </c>
      <c r="G10" s="80"/>
      <c r="H10" s="76" t="s">
        <v>44</v>
      </c>
      <c r="I10" s="76"/>
    </row>
    <row r="11" spans="1:10" ht="15.75" thickBot="1">
      <c r="A11" s="81"/>
      <c r="B11" s="82"/>
      <c r="C11" s="82"/>
      <c r="D11" s="66" t="str">
        <f>_xlfn.IFNA(VLOOKUP(C11,'Name List'!$A$2:$B$57,2,FALSE),"")</f>
        <v/>
      </c>
      <c r="E11" s="83"/>
      <c r="F11" s="84"/>
      <c r="G11" s="85"/>
      <c r="H11" s="86" t="s">
        <v>43</v>
      </c>
      <c r="I11" s="86"/>
    </row>
    <row r="12" spans="1:10" ht="15.75" thickBot="1">
      <c r="A12" s="64" t="s">
        <v>25</v>
      </c>
      <c r="B12" s="65"/>
      <c r="C12" s="65"/>
      <c r="D12" s="66" t="str">
        <f>_xlfn.IFNA(VLOOKUP(C12,'Name List'!$A$2:$B$57,2,FALSE),"")</f>
        <v/>
      </c>
      <c r="E12" s="67" t="s">
        <v>101</v>
      </c>
      <c r="F12" s="68" t="s">
        <v>10</v>
      </c>
      <c r="G12" s="69"/>
      <c r="H12" s="70" t="s">
        <v>22</v>
      </c>
      <c r="I12" s="70"/>
    </row>
    <row r="13" spans="1:10" ht="15.75" thickBot="1">
      <c r="A13" s="71" t="s">
        <v>25</v>
      </c>
      <c r="B13" s="72"/>
      <c r="C13" s="72"/>
      <c r="D13" s="66" t="str">
        <f>_xlfn.IFNA(VLOOKUP(C13,'Name List'!$A$2:$B$57,2,FALSE),"")</f>
        <v/>
      </c>
      <c r="E13" s="73" t="s">
        <v>101</v>
      </c>
      <c r="F13" s="74" t="s">
        <v>8</v>
      </c>
      <c r="G13" s="75"/>
      <c r="H13" s="76" t="s">
        <v>33</v>
      </c>
      <c r="I13" s="76"/>
    </row>
    <row r="14" spans="1:10" ht="15.75" thickBot="1">
      <c r="A14" s="71" t="s">
        <v>25</v>
      </c>
      <c r="B14" s="72"/>
      <c r="C14" s="72"/>
      <c r="D14" s="66" t="str">
        <f>_xlfn.IFNA(VLOOKUP(C14,'Name List'!$A$2:$B$57,2,FALSE),"")</f>
        <v/>
      </c>
      <c r="E14" s="73" t="s">
        <v>101</v>
      </c>
      <c r="F14" s="79" t="s">
        <v>9</v>
      </c>
      <c r="G14" s="80"/>
      <c r="H14" s="76" t="s">
        <v>44</v>
      </c>
      <c r="I14" s="76"/>
    </row>
    <row r="15" spans="1:10" ht="15.75" thickBot="1">
      <c r="A15" s="87" t="s">
        <v>25</v>
      </c>
      <c r="B15" s="88"/>
      <c r="C15" s="88"/>
      <c r="D15" s="66" t="str">
        <f>_xlfn.IFNA(VLOOKUP(C15,'Name List'!$A$2:$B$57,2,FALSE),"")</f>
        <v/>
      </c>
      <c r="E15" s="83" t="s">
        <v>101</v>
      </c>
      <c r="F15" s="89"/>
      <c r="G15" s="90"/>
      <c r="H15" s="91" t="s">
        <v>34</v>
      </c>
      <c r="I15" s="91"/>
    </row>
    <row r="16" spans="1:10" ht="15.75" thickBot="1">
      <c r="A16" s="64" t="s">
        <v>25</v>
      </c>
      <c r="B16" s="65"/>
      <c r="C16" s="65"/>
      <c r="D16" s="66" t="str">
        <f>_xlfn.IFNA(VLOOKUP(C16,'Name List'!$A$2:$B$57,2,FALSE),"")</f>
        <v/>
      </c>
      <c r="E16" s="67" t="s">
        <v>105</v>
      </c>
      <c r="F16" s="68" t="s">
        <v>10</v>
      </c>
      <c r="G16" s="69"/>
      <c r="H16" s="70" t="s">
        <v>22</v>
      </c>
      <c r="I16" s="70"/>
      <c r="J16" s="4"/>
    </row>
    <row r="17" spans="1:10" ht="15.75" thickBot="1">
      <c r="A17" s="71" t="s">
        <v>25</v>
      </c>
      <c r="B17" s="72"/>
      <c r="C17" s="72"/>
      <c r="D17" s="66" t="str">
        <f>_xlfn.IFNA(VLOOKUP(C17,'Name List'!$A$2:$B$57,2,FALSE),"")</f>
        <v/>
      </c>
      <c r="E17" s="73" t="s">
        <v>105</v>
      </c>
      <c r="F17" s="74" t="s">
        <v>8</v>
      </c>
      <c r="G17" s="75"/>
      <c r="H17" s="76" t="s">
        <v>23</v>
      </c>
      <c r="I17" s="76"/>
    </row>
    <row r="18" spans="1:10" ht="15.75" thickBot="1">
      <c r="A18" s="71" t="s">
        <v>25</v>
      </c>
      <c r="B18" s="72"/>
      <c r="C18" s="72"/>
      <c r="D18" s="66" t="str">
        <f>_xlfn.IFNA(VLOOKUP(C18,'Name List'!$A$2:$B$57,2,FALSE),"")</f>
        <v/>
      </c>
      <c r="E18" s="73"/>
      <c r="F18" s="79" t="s">
        <v>9</v>
      </c>
      <c r="G18" s="80"/>
      <c r="H18" s="76" t="s">
        <v>44</v>
      </c>
      <c r="I18" s="76"/>
    </row>
    <row r="19" spans="1:10" ht="15.75" thickBot="1">
      <c r="A19" s="87" t="s">
        <v>25</v>
      </c>
      <c r="B19" s="88"/>
      <c r="C19" s="88"/>
      <c r="D19" s="66" t="str">
        <f>_xlfn.IFNA(VLOOKUP(C19,'Name List'!$A$2:$B$57,2,FALSE),"")</f>
        <v/>
      </c>
      <c r="E19" s="83"/>
      <c r="F19" s="89"/>
      <c r="G19" s="90"/>
      <c r="H19" s="91" t="s">
        <v>26</v>
      </c>
      <c r="I19" s="91"/>
    </row>
    <row r="20" spans="1:10" ht="15.75" thickBot="1">
      <c r="A20" s="64" t="s">
        <v>25</v>
      </c>
      <c r="B20" s="92"/>
      <c r="C20" s="65"/>
      <c r="D20" s="66" t="str">
        <f>_xlfn.IFNA(VLOOKUP(C20,'Name List'!$A$2:$B$57,2,FALSE),"")</f>
        <v/>
      </c>
      <c r="E20" s="67" t="s">
        <v>108</v>
      </c>
      <c r="F20" s="68" t="s">
        <v>10</v>
      </c>
      <c r="G20" s="69"/>
      <c r="H20" s="70" t="s">
        <v>22</v>
      </c>
      <c r="I20" s="70"/>
      <c r="J20" s="4"/>
    </row>
    <row r="21" spans="1:10" ht="15.75" thickBot="1">
      <c r="A21" s="71" t="s">
        <v>25</v>
      </c>
      <c r="B21" s="93"/>
      <c r="C21" s="72"/>
      <c r="D21" s="66" t="str">
        <f>_xlfn.IFNA(VLOOKUP(C21,'Name List'!$A$2:$B$57,2,FALSE),"")</f>
        <v/>
      </c>
      <c r="E21" s="73" t="s">
        <v>108</v>
      </c>
      <c r="F21" s="74" t="s">
        <v>8</v>
      </c>
      <c r="G21" s="75"/>
      <c r="H21" s="76" t="s">
        <v>30</v>
      </c>
      <c r="I21" s="76"/>
    </row>
    <row r="22" spans="1:10" ht="15.75" thickBot="1">
      <c r="A22" s="71" t="s">
        <v>25</v>
      </c>
      <c r="B22" s="93"/>
      <c r="C22" s="72"/>
      <c r="D22" s="66" t="str">
        <f>_xlfn.IFNA(VLOOKUP(C22,'Name List'!$A$2:$B$57,2,FALSE),"")</f>
        <v/>
      </c>
      <c r="E22" s="73" t="s">
        <v>108</v>
      </c>
      <c r="F22" s="79" t="s">
        <v>9</v>
      </c>
      <c r="G22" s="80"/>
      <c r="H22" s="76" t="s">
        <v>44</v>
      </c>
      <c r="I22" s="76"/>
    </row>
    <row r="23" spans="1:10" ht="15.75" thickBot="1">
      <c r="A23" s="87" t="s">
        <v>25</v>
      </c>
      <c r="B23" s="94"/>
      <c r="C23" s="88"/>
      <c r="D23" s="66" t="str">
        <f>_xlfn.IFNA(VLOOKUP(C23,'Name List'!$A$2:$B$57,2,FALSE),"")</f>
        <v/>
      </c>
      <c r="E23" s="83" t="s">
        <v>108</v>
      </c>
      <c r="F23" s="89"/>
      <c r="G23" s="90"/>
      <c r="H23" s="91" t="s">
        <v>28</v>
      </c>
      <c r="I23" s="91"/>
    </row>
    <row r="24" spans="1:10" ht="15.75" thickBot="1">
      <c r="A24" s="64" t="s">
        <v>25</v>
      </c>
      <c r="B24" s="65"/>
      <c r="C24" s="65"/>
      <c r="D24" s="66" t="str">
        <f>_xlfn.IFNA(VLOOKUP(C24,'Name List'!$A$2:$B$57,2,FALSE),"")</f>
        <v/>
      </c>
      <c r="E24" s="67" t="s">
        <v>113</v>
      </c>
      <c r="F24" s="68" t="s">
        <v>11</v>
      </c>
      <c r="G24" s="69"/>
      <c r="H24" s="70" t="s">
        <v>22</v>
      </c>
      <c r="I24" s="70"/>
      <c r="J24" s="4"/>
    </row>
    <row r="25" spans="1:10" ht="15.75" thickBot="1">
      <c r="A25" s="71" t="s">
        <v>25</v>
      </c>
      <c r="B25" s="72"/>
      <c r="C25" s="72"/>
      <c r="D25" s="66" t="str">
        <f>_xlfn.IFNA(VLOOKUP(C25,'Name List'!$A$2:$B$57,2,FALSE),"")</f>
        <v/>
      </c>
      <c r="E25" s="73" t="s">
        <v>113</v>
      </c>
      <c r="F25" s="74" t="s">
        <v>12</v>
      </c>
      <c r="G25" s="75"/>
      <c r="H25" s="76" t="s">
        <v>24</v>
      </c>
      <c r="I25" s="76"/>
    </row>
    <row r="26" spans="1:10" ht="15.75" thickBot="1">
      <c r="A26" s="77" t="s">
        <v>25</v>
      </c>
      <c r="B26" s="78"/>
      <c r="C26" s="78"/>
      <c r="D26" s="66" t="str">
        <f>_xlfn.IFNA(VLOOKUP(C26,'Name List'!$A$2:$B$57,2,FALSE),"")</f>
        <v/>
      </c>
      <c r="E26" s="95" t="s">
        <v>113</v>
      </c>
      <c r="F26" s="79" t="s">
        <v>13</v>
      </c>
      <c r="G26" s="80"/>
      <c r="H26" s="76" t="s">
        <v>44</v>
      </c>
      <c r="I26" s="76"/>
    </row>
    <row r="27" spans="1:10" ht="15.75" thickBot="1">
      <c r="A27" s="96"/>
      <c r="B27" s="97"/>
      <c r="C27" s="97"/>
      <c r="D27" s="66" t="str">
        <f>_xlfn.IFNA(VLOOKUP(C27,'Name List'!$A$2:$B$57,2,FALSE),"")</f>
        <v/>
      </c>
      <c r="E27" s="98"/>
      <c r="F27" s="99"/>
      <c r="G27" s="100"/>
      <c r="H27" s="101" t="s">
        <v>27</v>
      </c>
      <c r="I27" s="101"/>
    </row>
    <row r="28" spans="1:10" ht="15.75" thickBot="1">
      <c r="A28" s="64" t="s">
        <v>25</v>
      </c>
      <c r="B28" s="92"/>
      <c r="C28" s="65"/>
      <c r="D28" s="66" t="str">
        <f>_xlfn.IFNA(VLOOKUP(C28,'Name List'!$A$2:$B$57,2,FALSE),"")</f>
        <v/>
      </c>
      <c r="E28" s="67" t="s">
        <v>117</v>
      </c>
      <c r="F28" s="68" t="s">
        <v>11</v>
      </c>
      <c r="G28" s="69"/>
      <c r="H28" s="70" t="s">
        <v>31</v>
      </c>
      <c r="I28" s="70"/>
      <c r="J28" s="4"/>
    </row>
    <row r="29" spans="1:10" ht="15.75" thickBot="1">
      <c r="A29" s="64" t="s">
        <v>25</v>
      </c>
      <c r="B29" s="72"/>
      <c r="C29" s="72"/>
      <c r="D29" s="66" t="str">
        <f>_xlfn.IFNA(VLOOKUP(C29,'Name List'!$A$2:$B$57,2,FALSE),"")</f>
        <v/>
      </c>
      <c r="E29" s="73" t="s">
        <v>117</v>
      </c>
      <c r="F29" s="74" t="s">
        <v>12</v>
      </c>
      <c r="G29" s="75"/>
      <c r="H29" s="76" t="s">
        <v>30</v>
      </c>
      <c r="I29" s="76"/>
    </row>
    <row r="30" spans="1:10" ht="15.75" thickBot="1">
      <c r="A30" s="64" t="s">
        <v>25</v>
      </c>
      <c r="B30" s="78"/>
      <c r="C30" s="78"/>
      <c r="D30" s="66" t="str">
        <f>_xlfn.IFNA(VLOOKUP(C30,'Name List'!$A$2:$B$57,2,FALSE),"")</f>
        <v/>
      </c>
      <c r="E30" s="95"/>
      <c r="F30" s="79" t="s">
        <v>13</v>
      </c>
      <c r="G30" s="80"/>
      <c r="H30" s="76" t="s">
        <v>44</v>
      </c>
      <c r="I30" s="76"/>
    </row>
    <row r="31" spans="1:10" ht="15.75" thickBot="1">
      <c r="A31" s="96"/>
      <c r="B31" s="97"/>
      <c r="C31" s="97"/>
      <c r="D31" s="66" t="str">
        <f>_xlfn.IFNA(VLOOKUP(C31,'Name List'!$A$2:$B$57,2,FALSE),"")</f>
        <v/>
      </c>
      <c r="E31" s="98"/>
      <c r="F31" s="99"/>
      <c r="G31" s="100"/>
      <c r="H31" s="101" t="s">
        <v>36</v>
      </c>
      <c r="I31" s="101"/>
    </row>
    <row r="32" spans="1:10" ht="15.75" thickBot="1">
      <c r="A32" s="64" t="s">
        <v>25</v>
      </c>
      <c r="B32" s="65"/>
      <c r="C32" s="65"/>
      <c r="D32" s="66" t="str">
        <f>_xlfn.IFNA(VLOOKUP(C32,'Name List'!$A$2:$B$57,2,FALSE),"")</f>
        <v/>
      </c>
      <c r="E32" s="67" t="s">
        <v>120</v>
      </c>
      <c r="F32" s="68" t="s">
        <v>11</v>
      </c>
      <c r="G32" s="69"/>
      <c r="H32" s="70" t="s">
        <v>31</v>
      </c>
      <c r="I32" s="70"/>
      <c r="J32" s="4"/>
    </row>
    <row r="33" spans="1:10" ht="15.75" thickBot="1">
      <c r="A33" s="71" t="s">
        <v>25</v>
      </c>
      <c r="B33" s="72"/>
      <c r="C33" s="72"/>
      <c r="D33" s="66" t="str">
        <f>_xlfn.IFNA(VLOOKUP(C33,'Name List'!$A$2:$B$57,2,FALSE),"")</f>
        <v/>
      </c>
      <c r="E33" s="73" t="s">
        <v>120</v>
      </c>
      <c r="F33" s="74" t="s">
        <v>12</v>
      </c>
      <c r="G33" s="75"/>
      <c r="H33" s="76" t="s">
        <v>33</v>
      </c>
      <c r="I33" s="76"/>
    </row>
    <row r="34" spans="1:10" ht="15.75" thickBot="1">
      <c r="A34" s="71" t="s">
        <v>25</v>
      </c>
      <c r="B34" s="72"/>
      <c r="C34" s="72"/>
      <c r="D34" s="66" t="str">
        <f>_xlfn.IFNA(VLOOKUP(C34,'Name List'!$A$2:$B$57,2,FALSE),"")</f>
        <v/>
      </c>
      <c r="E34" s="73" t="s">
        <v>120</v>
      </c>
      <c r="F34" s="79" t="s">
        <v>13</v>
      </c>
      <c r="G34" s="80"/>
      <c r="H34" s="76" t="s">
        <v>44</v>
      </c>
      <c r="I34" s="76"/>
    </row>
    <row r="35" spans="1:10" ht="15.75" thickBot="1">
      <c r="A35" s="87" t="s">
        <v>25</v>
      </c>
      <c r="B35" s="88"/>
      <c r="C35" s="88"/>
      <c r="D35" s="66" t="str">
        <f>_xlfn.IFNA(VLOOKUP(C35,'Name List'!$A$2:$B$57,2,FALSE),"")</f>
        <v/>
      </c>
      <c r="E35" s="83"/>
      <c r="F35" s="89"/>
      <c r="G35" s="90"/>
      <c r="H35" s="91" t="s">
        <v>37</v>
      </c>
      <c r="I35" s="91"/>
    </row>
    <row r="36" spans="1:10" ht="15.75" thickBot="1">
      <c r="A36" s="64" t="s">
        <v>25</v>
      </c>
      <c r="B36" s="65"/>
      <c r="C36" s="65"/>
      <c r="D36" s="66" t="str">
        <f>_xlfn.IFNA(VLOOKUP(C36,'Name List'!$A$2:$B$57,2,FALSE),"")</f>
        <v/>
      </c>
      <c r="E36" s="67" t="s">
        <v>124</v>
      </c>
      <c r="F36" s="68" t="s">
        <v>16</v>
      </c>
      <c r="G36" s="69"/>
      <c r="H36" s="70" t="s">
        <v>31</v>
      </c>
      <c r="I36" s="70"/>
      <c r="J36" s="4"/>
    </row>
    <row r="37" spans="1:10" ht="15.75" thickBot="1">
      <c r="A37" s="71" t="s">
        <v>25</v>
      </c>
      <c r="B37" s="72"/>
      <c r="C37" s="72"/>
      <c r="D37" s="66" t="str">
        <f>_xlfn.IFNA(VLOOKUP(C37,'Name List'!$A$2:$B$57,2,FALSE),"")</f>
        <v/>
      </c>
      <c r="E37" s="73" t="s">
        <v>124</v>
      </c>
      <c r="F37" s="74" t="s">
        <v>17</v>
      </c>
      <c r="G37" s="75"/>
      <c r="H37" s="76" t="s">
        <v>23</v>
      </c>
      <c r="I37" s="76"/>
    </row>
    <row r="38" spans="1:10" ht="15.75" thickBot="1">
      <c r="A38" s="71" t="s">
        <v>25</v>
      </c>
      <c r="B38" s="72"/>
      <c r="C38" s="72"/>
      <c r="D38" s="66" t="str">
        <f>_xlfn.IFNA(VLOOKUP(C38,'Name List'!$A$2:$B$57,2,FALSE),"")</f>
        <v/>
      </c>
      <c r="E38" s="73" t="s">
        <v>124</v>
      </c>
      <c r="F38" s="79" t="s">
        <v>18</v>
      </c>
      <c r="G38" s="80"/>
      <c r="H38" s="76" t="s">
        <v>44</v>
      </c>
      <c r="I38" s="76"/>
    </row>
    <row r="39" spans="1:10" ht="15.75" thickBot="1">
      <c r="A39" s="87" t="s">
        <v>25</v>
      </c>
      <c r="B39" s="88"/>
      <c r="C39" s="88"/>
      <c r="D39" s="66" t="str">
        <f>_xlfn.IFNA(VLOOKUP(C39,'Name List'!$A$2:$B$57,2,FALSE),"")</f>
        <v/>
      </c>
      <c r="E39" s="83" t="s">
        <v>124</v>
      </c>
      <c r="F39" s="89"/>
      <c r="G39" s="90"/>
      <c r="H39" s="91" t="s">
        <v>32</v>
      </c>
      <c r="I39" s="91"/>
    </row>
    <row r="40" spans="1:10" ht="15.75" thickBot="1">
      <c r="A40" s="64" t="s">
        <v>25</v>
      </c>
      <c r="B40" s="65"/>
      <c r="C40" s="65"/>
      <c r="D40" s="66" t="str">
        <f>_xlfn.IFNA(VLOOKUP(C40,'Name List'!$A$2:$B$57,2,FALSE),"")</f>
        <v/>
      </c>
      <c r="E40" s="67" t="s">
        <v>129</v>
      </c>
      <c r="F40" s="68" t="s">
        <v>16</v>
      </c>
      <c r="G40" s="69"/>
      <c r="H40" s="70" t="s">
        <v>31</v>
      </c>
      <c r="I40" s="70"/>
      <c r="J40" s="4"/>
    </row>
    <row r="41" spans="1:10" ht="15.75" thickBot="1">
      <c r="A41" s="71" t="s">
        <v>25</v>
      </c>
      <c r="B41" s="72"/>
      <c r="C41" s="72"/>
      <c r="D41" s="66" t="str">
        <f>_xlfn.IFNA(VLOOKUP(C41,'Name List'!$A$2:$B$57,2,FALSE),"")</f>
        <v/>
      </c>
      <c r="E41" s="73" t="s">
        <v>129</v>
      </c>
      <c r="F41" s="74" t="s">
        <v>17</v>
      </c>
      <c r="G41" s="75"/>
      <c r="H41" s="76" t="s">
        <v>40</v>
      </c>
      <c r="I41" s="76"/>
    </row>
    <row r="42" spans="1:10" ht="15.75" thickBot="1">
      <c r="A42" s="71" t="s">
        <v>25</v>
      </c>
      <c r="B42" s="72"/>
      <c r="C42" s="72"/>
      <c r="D42" s="66" t="str">
        <f>_xlfn.IFNA(VLOOKUP(C42,'Name List'!$A$2:$B$57,2,FALSE),"")</f>
        <v/>
      </c>
      <c r="E42" s="73" t="s">
        <v>129</v>
      </c>
      <c r="F42" s="79" t="s">
        <v>18</v>
      </c>
      <c r="G42" s="80"/>
      <c r="H42" s="76" t="s">
        <v>44</v>
      </c>
      <c r="I42" s="76"/>
    </row>
    <row r="43" spans="1:10" ht="15.75" thickBot="1">
      <c r="A43" s="87" t="s">
        <v>25</v>
      </c>
      <c r="B43" s="88"/>
      <c r="C43" s="88"/>
      <c r="D43" s="66" t="str">
        <f>_xlfn.IFNA(VLOOKUP(C43,'Name List'!$A$2:$B$57,2,FALSE),"")</f>
        <v/>
      </c>
      <c r="E43" s="83"/>
      <c r="F43" s="89"/>
      <c r="G43" s="90"/>
      <c r="H43" s="91" t="s">
        <v>39</v>
      </c>
      <c r="I43" s="91"/>
    </row>
    <row r="44" spans="1:10" ht="15.75" thickBot="1">
      <c r="A44" s="64" t="s">
        <v>25</v>
      </c>
      <c r="B44" s="65"/>
      <c r="C44" s="65"/>
      <c r="D44" s="66" t="str">
        <f>_xlfn.IFNA(VLOOKUP(C44,'Name List'!$A$2:$B$57,2,FALSE),"")</f>
        <v/>
      </c>
      <c r="E44" s="67" t="s">
        <v>133</v>
      </c>
      <c r="F44" s="68" t="s">
        <v>134</v>
      </c>
      <c r="G44" s="69"/>
      <c r="H44" s="70" t="s">
        <v>31</v>
      </c>
      <c r="I44" s="70"/>
      <c r="J44" s="4"/>
    </row>
    <row r="45" spans="1:10" ht="15.75" thickBot="1">
      <c r="A45" s="71" t="s">
        <v>25</v>
      </c>
      <c r="B45" s="72"/>
      <c r="C45" s="72"/>
      <c r="D45" s="66" t="str">
        <f>_xlfn.IFNA(VLOOKUP(C45,'Name List'!$A$2:$B$57,2,FALSE),"")</f>
        <v/>
      </c>
      <c r="E45" s="73" t="s">
        <v>133</v>
      </c>
      <c r="F45" s="74" t="s">
        <v>136</v>
      </c>
      <c r="G45" s="75"/>
      <c r="H45" s="76" t="s">
        <v>24</v>
      </c>
      <c r="I45" s="76"/>
    </row>
    <row r="46" spans="1:10" ht="15.75" thickBot="1">
      <c r="A46" s="71" t="s">
        <v>25</v>
      </c>
      <c r="B46" s="78"/>
      <c r="C46" s="78"/>
      <c r="D46" s="66" t="str">
        <f>_xlfn.IFNA(VLOOKUP(C46,'Name List'!$A$2:$B$57,2,FALSE),"")</f>
        <v/>
      </c>
      <c r="E46" s="95" t="s">
        <v>133</v>
      </c>
      <c r="F46" s="79" t="s">
        <v>18</v>
      </c>
      <c r="G46" s="80"/>
      <c r="H46" s="76" t="s">
        <v>44</v>
      </c>
      <c r="I46" s="76"/>
    </row>
    <row r="47" spans="1:10" ht="15.75" thickBot="1">
      <c r="A47" s="87" t="s">
        <v>25</v>
      </c>
      <c r="B47" s="82"/>
      <c r="C47" s="82"/>
      <c r="D47" s="66" t="str">
        <f>_xlfn.IFNA(VLOOKUP(C47,'Name List'!$A$2:$B$57,2,FALSE),"")</f>
        <v/>
      </c>
      <c r="E47" s="102" t="s">
        <v>133</v>
      </c>
      <c r="F47" s="84"/>
      <c r="G47" s="85"/>
      <c r="H47" s="86" t="s">
        <v>35</v>
      </c>
      <c r="I47" s="86"/>
    </row>
    <row r="48" spans="1:10" ht="15.75" thickBot="1">
      <c r="A48" s="103" t="s">
        <v>29</v>
      </c>
      <c r="B48" s="104"/>
      <c r="C48" s="104"/>
      <c r="D48" s="66" t="str">
        <f>_xlfn.IFNA(VLOOKUP(C48,'Name List'!$A$2:$B$57,2,FALSE),"")</f>
        <v/>
      </c>
      <c r="E48" s="105" t="s">
        <v>140</v>
      </c>
      <c r="F48" s="106" t="s">
        <v>11</v>
      </c>
      <c r="G48" s="107"/>
      <c r="H48" s="108" t="s">
        <v>31</v>
      </c>
      <c r="I48" s="108"/>
      <c r="J48" s="4"/>
    </row>
    <row r="49" spans="1:9" ht="15.75" thickBot="1">
      <c r="A49" s="109" t="s">
        <v>29</v>
      </c>
      <c r="B49" s="110"/>
      <c r="C49" s="110"/>
      <c r="D49" s="66" t="str">
        <f>_xlfn.IFNA(VLOOKUP(C49,'Name List'!$A$2:$B$57,2,FALSE),"")</f>
        <v/>
      </c>
      <c r="E49" s="111" t="s">
        <v>140</v>
      </c>
      <c r="F49" s="112" t="s">
        <v>12</v>
      </c>
      <c r="G49" s="113"/>
      <c r="H49" s="114" t="s">
        <v>41</v>
      </c>
      <c r="I49" s="114"/>
    </row>
    <row r="50" spans="1:9" ht="15.75" thickBot="1">
      <c r="A50" s="109" t="s">
        <v>29</v>
      </c>
      <c r="B50" s="110"/>
      <c r="C50" s="110"/>
      <c r="D50" s="66" t="str">
        <f>_xlfn.IFNA(VLOOKUP(C50,'Name List'!$A$2:$B$57,2,FALSE),"")</f>
        <v/>
      </c>
      <c r="E50" s="111" t="s">
        <v>140</v>
      </c>
      <c r="F50" s="115" t="s">
        <v>13</v>
      </c>
      <c r="G50" s="116"/>
      <c r="H50" s="114" t="s">
        <v>44</v>
      </c>
      <c r="I50" s="114"/>
    </row>
    <row r="51" spans="1:9" ht="15.75" thickBot="1">
      <c r="A51" s="117" t="s">
        <v>29</v>
      </c>
      <c r="B51" s="118"/>
      <c r="C51" s="118"/>
      <c r="D51" s="66" t="str">
        <f>_xlfn.IFNA(VLOOKUP(C51,'Name List'!$A$2:$B$57,2,FALSE),"")</f>
        <v/>
      </c>
      <c r="E51" s="119" t="s">
        <v>140</v>
      </c>
      <c r="F51" s="120"/>
      <c r="G51" s="121"/>
      <c r="H51" s="122" t="s">
        <v>42</v>
      </c>
      <c r="I51" s="122"/>
    </row>
    <row r="52" spans="1:9" ht="15.75" thickBot="1">
      <c r="A52" s="103" t="s">
        <v>29</v>
      </c>
      <c r="B52" s="104"/>
      <c r="C52" s="104"/>
      <c r="D52" s="66" t="str">
        <f>_xlfn.IFNA(VLOOKUP(C52,'Name List'!$A$2:$B$57,2,FALSE),"")</f>
        <v/>
      </c>
      <c r="E52" s="105" t="s">
        <v>145</v>
      </c>
      <c r="F52" s="106" t="s">
        <v>11</v>
      </c>
      <c r="G52" s="107"/>
      <c r="H52" s="108" t="s">
        <v>31</v>
      </c>
      <c r="I52" s="108"/>
    </row>
    <row r="53" spans="1:9" ht="15.75" thickBot="1">
      <c r="A53" s="109" t="s">
        <v>29</v>
      </c>
      <c r="B53" s="110"/>
      <c r="C53" s="110"/>
      <c r="D53" s="66" t="str">
        <f>_xlfn.IFNA(VLOOKUP(C53,'Name List'!$A$2:$B$57,2,FALSE),"")</f>
        <v/>
      </c>
      <c r="E53" s="111" t="s">
        <v>145</v>
      </c>
      <c r="F53" s="112" t="s">
        <v>12</v>
      </c>
      <c r="G53" s="113"/>
      <c r="H53" s="114" t="s">
        <v>41</v>
      </c>
      <c r="I53" s="114"/>
    </row>
    <row r="54" spans="1:9" ht="15.75" thickBot="1">
      <c r="A54" s="109" t="s">
        <v>29</v>
      </c>
      <c r="B54" s="110"/>
      <c r="C54" s="110"/>
      <c r="D54" s="66" t="str">
        <f>_xlfn.IFNA(VLOOKUP(C54,'Name List'!$A$2:$B$57,2,FALSE),"")</f>
        <v/>
      </c>
      <c r="E54" s="111" t="s">
        <v>145</v>
      </c>
      <c r="F54" s="115" t="s">
        <v>13</v>
      </c>
      <c r="G54" s="116"/>
      <c r="H54" s="114" t="s">
        <v>44</v>
      </c>
      <c r="I54" s="114"/>
    </row>
    <row r="55" spans="1:9" ht="15.75" thickBot="1">
      <c r="A55" s="117" t="s">
        <v>29</v>
      </c>
      <c r="B55" s="118"/>
      <c r="C55" s="118"/>
      <c r="D55" s="66" t="str">
        <f>_xlfn.IFNA(VLOOKUP(C55,'Name List'!$A$2:$B$57,2,FALSE),"")</f>
        <v/>
      </c>
      <c r="E55" s="119"/>
      <c r="F55" s="120"/>
      <c r="G55" s="121"/>
      <c r="H55" s="122" t="s">
        <v>42</v>
      </c>
      <c r="I55" s="122"/>
    </row>
    <row r="56" spans="1:9" ht="15.75" thickBot="1">
      <c r="A56" s="103" t="s">
        <v>29</v>
      </c>
      <c r="B56" s="104"/>
      <c r="C56" s="104"/>
      <c r="D56" s="66" t="str">
        <f>_xlfn.IFNA(VLOOKUP(C56,'Name List'!$A$2:$B$57,2,FALSE),"")</f>
        <v/>
      </c>
      <c r="E56" s="105" t="s">
        <v>149</v>
      </c>
      <c r="F56" s="106" t="s">
        <v>14</v>
      </c>
      <c r="G56" s="107"/>
      <c r="H56" s="108" t="s">
        <v>31</v>
      </c>
      <c r="I56" s="108"/>
    </row>
    <row r="57" spans="1:9" ht="15.75" thickBot="1">
      <c r="A57" s="109" t="s">
        <v>29</v>
      </c>
      <c r="B57" s="110"/>
      <c r="C57" s="110"/>
      <c r="D57" s="66" t="str">
        <f>_xlfn.IFNA(VLOOKUP(C57,'Name List'!$A$2:$B$57,2,FALSE),"")</f>
        <v/>
      </c>
      <c r="E57" s="111" t="s">
        <v>149</v>
      </c>
      <c r="F57" s="112" t="s">
        <v>15</v>
      </c>
      <c r="G57" s="113"/>
      <c r="H57" s="114" t="s">
        <v>41</v>
      </c>
      <c r="I57" s="114"/>
    </row>
    <row r="58" spans="1:9" ht="15.75" thickBot="1">
      <c r="A58" s="109" t="s">
        <v>29</v>
      </c>
      <c r="B58" s="110"/>
      <c r="C58" s="110"/>
      <c r="D58" s="66" t="str">
        <f>_xlfn.IFNA(VLOOKUP(C58,'Name List'!$A$2:$B$57,2,FALSE),"")</f>
        <v/>
      </c>
      <c r="E58" s="111" t="s">
        <v>149</v>
      </c>
      <c r="F58" s="115" t="s">
        <v>152</v>
      </c>
      <c r="G58" s="116"/>
      <c r="H58" s="114" t="s">
        <v>44</v>
      </c>
      <c r="I58" s="114"/>
    </row>
    <row r="59" spans="1:9" ht="15.75" thickBot="1">
      <c r="A59" s="117" t="s">
        <v>29</v>
      </c>
      <c r="B59" s="118"/>
      <c r="C59" s="118"/>
      <c r="D59" s="66" t="str">
        <f>_xlfn.IFNA(VLOOKUP(C59,'Name List'!$A$2:$B$57,2,FALSE),"")</f>
        <v/>
      </c>
      <c r="E59" s="119"/>
      <c r="F59" s="120"/>
      <c r="G59" s="121"/>
      <c r="H59" s="122" t="s">
        <v>42</v>
      </c>
      <c r="I59" s="122"/>
    </row>
    <row r="60" spans="1:9" ht="15.75" thickBot="1">
      <c r="A60" s="103" t="s">
        <v>29</v>
      </c>
      <c r="B60" s="104"/>
      <c r="C60" s="104"/>
      <c r="D60" s="66" t="str">
        <f>_xlfn.IFNA(VLOOKUP(C60,'Name List'!$A$2:$B$57,2,FALSE),"")</f>
        <v/>
      </c>
      <c r="E60" s="105" t="s">
        <v>154</v>
      </c>
      <c r="F60" s="106" t="s">
        <v>14</v>
      </c>
      <c r="G60" s="107"/>
      <c r="H60" s="108" t="s">
        <v>31</v>
      </c>
      <c r="I60" s="108"/>
    </row>
    <row r="61" spans="1:9" ht="15.75" thickBot="1">
      <c r="A61" s="109" t="s">
        <v>29</v>
      </c>
      <c r="B61" s="110"/>
      <c r="C61" s="110"/>
      <c r="D61" s="66" t="str">
        <f>_xlfn.IFNA(VLOOKUP(C61,'Name List'!$A$2:$B$57,2,FALSE),"")</f>
        <v/>
      </c>
      <c r="E61" s="111" t="s">
        <v>154</v>
      </c>
      <c r="F61" s="112" t="s">
        <v>15</v>
      </c>
      <c r="G61" s="113"/>
      <c r="H61" s="114" t="s">
        <v>41</v>
      </c>
      <c r="I61" s="114"/>
    </row>
    <row r="62" spans="1:9" ht="15.75" thickBot="1">
      <c r="A62" s="109" t="s">
        <v>29</v>
      </c>
      <c r="B62" s="110"/>
      <c r="C62" s="110"/>
      <c r="D62" s="66" t="str">
        <f>_xlfn.IFNA(VLOOKUP(C62,'Name List'!$A$2:$B$57,2,FALSE),"")</f>
        <v/>
      </c>
      <c r="E62" s="111"/>
      <c r="F62" s="115" t="s">
        <v>152</v>
      </c>
      <c r="G62" s="116"/>
      <c r="H62" s="114" t="s">
        <v>44</v>
      </c>
      <c r="I62" s="114"/>
    </row>
    <row r="63" spans="1:9" ht="15.75" thickBot="1">
      <c r="A63" s="117" t="s">
        <v>29</v>
      </c>
      <c r="B63" s="118"/>
      <c r="C63" s="118"/>
      <c r="D63" s="66" t="str">
        <f>_xlfn.IFNA(VLOOKUP(C63,'Name List'!$A$2:$B$57,2,FALSE),"")</f>
        <v/>
      </c>
      <c r="E63" s="119"/>
      <c r="F63" s="120"/>
      <c r="G63" s="121"/>
      <c r="H63" s="122" t="s">
        <v>42</v>
      </c>
      <c r="I63" s="122"/>
    </row>
    <row r="64" spans="1:9" ht="15.75" thickBot="1">
      <c r="A64" s="103" t="s">
        <v>29</v>
      </c>
      <c r="B64" s="104"/>
      <c r="C64" s="104"/>
      <c r="D64" s="66" t="str">
        <f>_xlfn.IFNA(VLOOKUP(C64,'Name List'!$A$2:$B$57,2,FALSE),"")</f>
        <v/>
      </c>
      <c r="E64" s="105" t="s">
        <v>157</v>
      </c>
      <c r="F64" s="106" t="s">
        <v>19</v>
      </c>
      <c r="G64" s="107"/>
      <c r="H64" s="108" t="s">
        <v>31</v>
      </c>
      <c r="I64" s="108"/>
    </row>
    <row r="65" spans="1:9" ht="15.75" thickBot="1">
      <c r="A65" s="109" t="s">
        <v>29</v>
      </c>
      <c r="B65" s="110"/>
      <c r="C65" s="110"/>
      <c r="D65" s="66" t="str">
        <f>_xlfn.IFNA(VLOOKUP(C65,'Name List'!$A$2:$B$57,2,FALSE),"")</f>
        <v/>
      </c>
      <c r="E65" s="111" t="s">
        <v>157</v>
      </c>
      <c r="F65" s="112" t="s">
        <v>21</v>
      </c>
      <c r="G65" s="113"/>
      <c r="H65" s="114" t="s">
        <v>41</v>
      </c>
      <c r="I65" s="114"/>
    </row>
    <row r="66" spans="1:9" ht="15.75" thickBot="1">
      <c r="A66" s="109" t="s">
        <v>29</v>
      </c>
      <c r="B66" s="110"/>
      <c r="C66" s="110"/>
      <c r="D66" s="66" t="str">
        <f>_xlfn.IFNA(VLOOKUP(C66,'Name List'!$A$2:$B$57,2,FALSE),"")</f>
        <v/>
      </c>
      <c r="E66" s="111" t="s">
        <v>157</v>
      </c>
      <c r="F66" s="115" t="s">
        <v>20</v>
      </c>
      <c r="G66" s="116"/>
      <c r="H66" s="114" t="s">
        <v>44</v>
      </c>
      <c r="I66" s="114"/>
    </row>
    <row r="67" spans="1:9" ht="15.75" thickBot="1">
      <c r="A67" s="117" t="s">
        <v>29</v>
      </c>
      <c r="B67" s="118"/>
      <c r="C67" s="118"/>
      <c r="D67" s="66" t="str">
        <f>_xlfn.IFNA(VLOOKUP(C67,'Name List'!$A$2:$B$57,2,FALSE),"")</f>
        <v/>
      </c>
      <c r="E67" s="119" t="s">
        <v>157</v>
      </c>
      <c r="F67" s="120"/>
      <c r="G67" s="121"/>
      <c r="H67" s="122" t="s">
        <v>42</v>
      </c>
      <c r="I67" s="122"/>
    </row>
    <row r="68" spans="1:9" ht="15.75" thickBot="1">
      <c r="A68" s="103" t="s">
        <v>29</v>
      </c>
      <c r="B68" s="104"/>
      <c r="C68" s="104"/>
      <c r="D68" s="66" t="str">
        <f>_xlfn.IFNA(VLOOKUP(C68,'Name List'!$A$2:$B$57,2,FALSE),"")</f>
        <v/>
      </c>
      <c r="E68" s="105" t="s">
        <v>162</v>
      </c>
      <c r="F68" s="106" t="s">
        <v>19</v>
      </c>
      <c r="G68" s="107"/>
      <c r="H68" s="108" t="s">
        <v>31</v>
      </c>
      <c r="I68" s="108"/>
    </row>
    <row r="69" spans="1:9" ht="15.75" thickBot="1">
      <c r="A69" s="109" t="s">
        <v>29</v>
      </c>
      <c r="B69" s="110"/>
      <c r="C69" s="110"/>
      <c r="D69" s="66" t="str">
        <f>_xlfn.IFNA(VLOOKUP(C69,'Name List'!$A$2:$B$57,2,FALSE),"")</f>
        <v/>
      </c>
      <c r="E69" s="111" t="s">
        <v>162</v>
      </c>
      <c r="F69" s="112" t="s">
        <v>21</v>
      </c>
      <c r="G69" s="113"/>
      <c r="H69" s="114" t="s">
        <v>41</v>
      </c>
      <c r="I69" s="114"/>
    </row>
    <row r="70" spans="1:9" ht="15.75" thickBot="1">
      <c r="A70" s="109" t="s">
        <v>29</v>
      </c>
      <c r="B70" s="110"/>
      <c r="C70" s="110"/>
      <c r="D70" s="66" t="str">
        <f>_xlfn.IFNA(VLOOKUP(C70,'Name List'!$A$2:$B$57,2,FALSE),"")</f>
        <v/>
      </c>
      <c r="E70" s="111" t="s">
        <v>162</v>
      </c>
      <c r="F70" s="115" t="s">
        <v>20</v>
      </c>
      <c r="G70" s="116"/>
      <c r="H70" s="114" t="s">
        <v>44</v>
      </c>
      <c r="I70" s="114"/>
    </row>
    <row r="71" spans="1:9" ht="15.75" thickBot="1">
      <c r="A71" s="117" t="s">
        <v>29</v>
      </c>
      <c r="B71" s="118"/>
      <c r="C71" s="118"/>
      <c r="D71" s="66" t="str">
        <f>_xlfn.IFNA(VLOOKUP(C71,'Name List'!$A$2:$B$57,2,FALSE),"")</f>
        <v/>
      </c>
      <c r="E71" s="119" t="s">
        <v>162</v>
      </c>
      <c r="F71" s="120"/>
      <c r="G71" s="121"/>
      <c r="H71" s="122" t="s">
        <v>42</v>
      </c>
      <c r="I71" s="122"/>
    </row>
    <row r="72" spans="1:9" ht="15.75" thickBot="1">
      <c r="A72" s="103" t="s">
        <v>29</v>
      </c>
      <c r="B72" s="104"/>
      <c r="C72" s="104"/>
      <c r="D72" s="66" t="str">
        <f>_xlfn.IFNA(VLOOKUP(C72,'Name List'!$A$2:$B$57,2,FALSE),"")</f>
        <v/>
      </c>
      <c r="E72" s="105" t="s">
        <v>165</v>
      </c>
      <c r="F72" s="106" t="s">
        <v>166</v>
      </c>
      <c r="G72" s="107"/>
      <c r="H72" s="108" t="s">
        <v>31</v>
      </c>
      <c r="I72" s="108"/>
    </row>
    <row r="73" spans="1:9" ht="15">
      <c r="A73" s="109" t="s">
        <v>29</v>
      </c>
      <c r="B73" s="110"/>
      <c r="C73" s="110"/>
      <c r="D73" s="66" t="str">
        <f>_xlfn.IFNA(VLOOKUP(C73,'Name List'!$A$2:$B$57,2,FALSE),"")</f>
        <v/>
      </c>
      <c r="E73" s="111" t="s">
        <v>165</v>
      </c>
      <c r="F73" s="112" t="s">
        <v>167</v>
      </c>
      <c r="G73" s="113"/>
      <c r="H73" s="114" t="s">
        <v>41</v>
      </c>
      <c r="I73" s="114"/>
    </row>
    <row r="74" spans="1:9" ht="15">
      <c r="A74" s="109" t="s">
        <v>29</v>
      </c>
      <c r="B74" s="110"/>
      <c r="C74" s="110"/>
      <c r="D74" s="123"/>
      <c r="E74" s="111"/>
      <c r="F74" s="115" t="s">
        <v>168</v>
      </c>
      <c r="G74" s="116"/>
      <c r="H74" s="114" t="s">
        <v>44</v>
      </c>
      <c r="I74" s="114"/>
    </row>
    <row r="75" spans="1:9" ht="15.75" thickBot="1">
      <c r="A75" s="117" t="s">
        <v>29</v>
      </c>
      <c r="B75" s="118"/>
      <c r="C75" s="118"/>
      <c r="D75" s="124"/>
      <c r="E75" s="119"/>
      <c r="F75" s="120"/>
      <c r="G75" s="121"/>
      <c r="H75" s="122" t="s">
        <v>42</v>
      </c>
      <c r="I75" s="122"/>
    </row>
    <row r="76" spans="1:9" ht="15">
      <c r="A76" s="103"/>
      <c r="B76" s="104"/>
      <c r="C76" s="104"/>
      <c r="D76" s="125"/>
      <c r="E76" s="105"/>
      <c r="F76" s="106"/>
      <c r="G76" s="107"/>
      <c r="H76" s="108"/>
      <c r="I76" s="108"/>
    </row>
    <row r="77" spans="1:9" ht="15">
      <c r="A77" s="109"/>
      <c r="B77" s="110"/>
      <c r="C77" s="110"/>
      <c r="D77" s="123"/>
      <c r="E77" s="111"/>
      <c r="F77" s="112"/>
      <c r="G77" s="113"/>
      <c r="H77" s="114"/>
      <c r="I77" s="114"/>
    </row>
    <row r="78" spans="1:9" ht="15">
      <c r="A78" s="109"/>
      <c r="B78" s="110"/>
      <c r="C78" s="110"/>
      <c r="D78" s="123"/>
      <c r="E78" s="111"/>
      <c r="F78" s="115"/>
      <c r="G78" s="116"/>
      <c r="H78" s="114"/>
      <c r="I78" s="114"/>
    </row>
    <row r="79" spans="1:9" ht="15.75" thickBot="1">
      <c r="A79" s="117"/>
      <c r="B79" s="118"/>
      <c r="C79" s="118"/>
      <c r="D79" s="124"/>
      <c r="E79" s="119"/>
      <c r="F79" s="120"/>
      <c r="G79" s="121"/>
      <c r="H79" s="122"/>
      <c r="I79" s="122"/>
    </row>
  </sheetData>
  <autoFilter ref="A7:E47">
    <sortState ref="A4:H43">
      <sortCondition ref="E3:E43"/>
    </sortState>
  </autoFilter>
  <phoneticPr fontId="4" type="noConversion"/>
  <hyperlinks>
    <hyperlink ref="F50" r:id="rId1"/>
    <hyperlink ref="F38" r:id="rId2"/>
    <hyperlink ref="F46" r:id="rId3"/>
    <hyperlink ref="F10" r:id="rId4"/>
    <hyperlink ref="F18" r:id="rId5"/>
    <hyperlink ref="F22" r:id="rId6"/>
    <hyperlink ref="F70" r:id="rId7"/>
    <hyperlink ref="F26" r:id="rId8"/>
    <hyperlink ref="F30" r:id="rId9"/>
    <hyperlink ref="F34" r:id="rId10"/>
    <hyperlink ref="F42" r:id="rId11"/>
    <hyperlink ref="F54" r:id="rId12"/>
    <hyperlink ref="F66" r:id="rId13"/>
    <hyperlink ref="F14" r:id="rId14"/>
  </hyperlinks>
  <pageMargins left="0.75" right="0.75" top="1" bottom="1" header="0.5" footer="0.5"/>
  <pageSetup scale="68" orientation="portrait" horizontalDpi="300" verticalDpi="300" r:id="rId15"/>
  <headerFooter alignWithMargins="0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8" name="Button 1">
              <controlPr defaultSize="0" print="0" autoFill="0" autoPict="0" macro="[0]!CreateMarksheet">
                <anchor moveWithCells="1" sizeWithCells="1">
                  <from>
                    <xdr:col>5</xdr:col>
                    <xdr:colOff>266700</xdr:colOff>
                    <xdr:row>4</xdr:row>
                    <xdr:rowOff>76200</xdr:rowOff>
                  </from>
                  <to>
                    <xdr:col>5</xdr:col>
                    <xdr:colOff>1485900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7"/>
  <sheetViews>
    <sheetView topLeftCell="A19" workbookViewId="0">
      <selection activeCell="B2" sqref="B2:B57"/>
    </sheetView>
  </sheetViews>
  <sheetFormatPr defaultRowHeight="12.75"/>
  <cols>
    <col min="1" max="1" width="7.7109375" bestFit="1" customWidth="1"/>
    <col min="2" max="2" width="10" bestFit="1" customWidth="1"/>
  </cols>
  <sheetData>
    <row r="1" spans="1:2" ht="26.25" thickBot="1">
      <c r="A1" s="47" t="s">
        <v>2</v>
      </c>
      <c r="B1" s="47" t="s">
        <v>91</v>
      </c>
    </row>
    <row r="2" spans="1:2" ht="13.5" thickBot="1">
      <c r="A2" s="48" t="s">
        <v>96</v>
      </c>
      <c r="B2" s="49"/>
    </row>
    <row r="3" spans="1:2" ht="13.5" thickBot="1">
      <c r="A3" s="48" t="s">
        <v>104</v>
      </c>
      <c r="B3" s="49"/>
    </row>
    <row r="4" spans="1:2" ht="13.5" thickBot="1">
      <c r="A4" s="48" t="s">
        <v>109</v>
      </c>
      <c r="B4" s="49"/>
    </row>
    <row r="5" spans="1:2" ht="13.5" thickBot="1">
      <c r="A5" s="48" t="s">
        <v>100</v>
      </c>
      <c r="B5" s="49"/>
    </row>
    <row r="6" spans="1:2" ht="13.5" thickBot="1">
      <c r="A6" s="48" t="s">
        <v>126</v>
      </c>
      <c r="B6" s="49"/>
    </row>
    <row r="7" spans="1:2" ht="13.5" thickBot="1">
      <c r="A7" s="48" t="s">
        <v>132</v>
      </c>
      <c r="B7" s="49"/>
    </row>
    <row r="8" spans="1:2" ht="13.5" thickBot="1">
      <c r="A8" s="48" t="s">
        <v>112</v>
      </c>
      <c r="B8" s="49"/>
    </row>
    <row r="9" spans="1:2" ht="13.5" thickBot="1">
      <c r="A9" s="48" t="s">
        <v>131</v>
      </c>
      <c r="B9" s="49"/>
    </row>
    <row r="10" spans="1:2" ht="13.5" thickBot="1">
      <c r="A10" s="48" t="s">
        <v>110</v>
      </c>
      <c r="B10" s="49"/>
    </row>
    <row r="11" spans="1:2" ht="13.5" thickBot="1">
      <c r="A11" s="48" t="s">
        <v>102</v>
      </c>
      <c r="B11" s="49"/>
    </row>
    <row r="12" spans="1:2" ht="13.5" thickBot="1">
      <c r="A12" s="48" t="s">
        <v>107</v>
      </c>
      <c r="B12" s="49"/>
    </row>
    <row r="13" spans="1:2" ht="13.5" thickBot="1">
      <c r="A13" s="48" t="s">
        <v>135</v>
      </c>
      <c r="B13" s="49"/>
    </row>
    <row r="14" spans="1:2" ht="13.5" thickBot="1">
      <c r="A14" s="48" t="s">
        <v>114</v>
      </c>
      <c r="B14" s="49"/>
    </row>
    <row r="15" spans="1:2" ht="13.5" thickBot="1">
      <c r="A15" s="48" t="s">
        <v>123</v>
      </c>
      <c r="B15" s="49"/>
    </row>
    <row r="16" spans="1:2" ht="13.5" thickBot="1">
      <c r="A16" s="48" t="s">
        <v>98</v>
      </c>
      <c r="B16" s="49"/>
    </row>
    <row r="17" spans="1:2" ht="13.5" thickBot="1">
      <c r="A17" s="48" t="s">
        <v>137</v>
      </c>
      <c r="B17" s="49"/>
    </row>
    <row r="18" spans="1:2" ht="13.5" thickBot="1">
      <c r="A18" s="48" t="s">
        <v>99</v>
      </c>
      <c r="B18" s="49"/>
    </row>
    <row r="19" spans="1:2" ht="13.5" thickBot="1">
      <c r="A19" s="48" t="s">
        <v>106</v>
      </c>
      <c r="B19" s="49"/>
    </row>
    <row r="20" spans="1:2" ht="13.5" thickBot="1">
      <c r="A20" s="48" t="s">
        <v>138</v>
      </c>
      <c r="B20" s="49"/>
    </row>
    <row r="21" spans="1:2" ht="13.5" thickBot="1">
      <c r="A21" s="48" t="s">
        <v>115</v>
      </c>
      <c r="B21" s="49"/>
    </row>
    <row r="22" spans="1:2" ht="13.5" thickBot="1">
      <c r="A22" s="48" t="s">
        <v>103</v>
      </c>
      <c r="B22" s="49"/>
    </row>
    <row r="23" spans="1:2" ht="13.5" thickBot="1">
      <c r="A23" s="48" t="s">
        <v>127</v>
      </c>
      <c r="B23" s="49"/>
    </row>
    <row r="24" spans="1:2" ht="13.5" thickBot="1">
      <c r="A24" s="48" t="s">
        <v>119</v>
      </c>
      <c r="B24" s="49"/>
    </row>
    <row r="25" spans="1:2" ht="13.5" thickBot="1">
      <c r="A25" s="48" t="s">
        <v>118</v>
      </c>
      <c r="B25" s="49"/>
    </row>
    <row r="26" spans="1:2" ht="13.5" thickBot="1">
      <c r="A26" s="48" t="s">
        <v>125</v>
      </c>
      <c r="B26" s="49"/>
    </row>
    <row r="27" spans="1:2" ht="13.5" thickBot="1">
      <c r="A27" s="48" t="s">
        <v>111</v>
      </c>
      <c r="B27" s="49"/>
    </row>
    <row r="28" spans="1:2" ht="13.5" thickBot="1">
      <c r="A28" s="48" t="s">
        <v>169</v>
      </c>
      <c r="B28" s="49"/>
    </row>
    <row r="29" spans="1:2" ht="13.5" thickBot="1">
      <c r="A29" s="48" t="s">
        <v>130</v>
      </c>
      <c r="B29" s="49"/>
    </row>
    <row r="30" spans="1:2" ht="13.5" thickBot="1">
      <c r="A30" s="48" t="s">
        <v>121</v>
      </c>
      <c r="B30" s="49"/>
    </row>
    <row r="31" spans="1:2" ht="13.5" thickBot="1">
      <c r="A31" s="48" t="s">
        <v>128</v>
      </c>
      <c r="B31" s="49"/>
    </row>
    <row r="32" spans="1:2" ht="13.5" thickBot="1">
      <c r="A32" s="48" t="s">
        <v>122</v>
      </c>
      <c r="B32" s="49"/>
    </row>
    <row r="33" spans="1:2" ht="13.5" thickBot="1">
      <c r="A33" s="48" t="s">
        <v>170</v>
      </c>
      <c r="B33" s="49"/>
    </row>
    <row r="34" spans="1:2" ht="13.5" thickBot="1">
      <c r="A34" s="48" t="s">
        <v>139</v>
      </c>
      <c r="B34" s="49"/>
    </row>
    <row r="35" spans="1:2" ht="13.5" thickBot="1">
      <c r="A35" s="48" t="s">
        <v>148</v>
      </c>
      <c r="B35" s="49"/>
    </row>
    <row r="36" spans="1:2" ht="13.5" thickBot="1">
      <c r="A36" s="48" t="s">
        <v>116</v>
      </c>
      <c r="B36" s="49"/>
    </row>
    <row r="37" spans="1:2" ht="13.5" thickBot="1">
      <c r="A37" s="48" t="s">
        <v>156</v>
      </c>
      <c r="B37" s="49"/>
    </row>
    <row r="38" spans="1:2" ht="13.5" thickBot="1">
      <c r="A38" s="48" t="s">
        <v>159</v>
      </c>
      <c r="B38" s="49"/>
    </row>
    <row r="39" spans="1:2" ht="13.5" thickBot="1">
      <c r="A39" s="48" t="s">
        <v>160</v>
      </c>
      <c r="B39" s="49"/>
    </row>
    <row r="40" spans="1:2" ht="13.5" thickBot="1">
      <c r="A40" s="48" t="s">
        <v>150</v>
      </c>
      <c r="B40" s="49"/>
    </row>
    <row r="41" spans="1:2" ht="13.5" thickBot="1">
      <c r="A41" s="48" t="s">
        <v>144</v>
      </c>
      <c r="B41" s="49"/>
    </row>
    <row r="42" spans="1:2" ht="13.5" thickBot="1">
      <c r="A42" s="48" t="s">
        <v>141</v>
      </c>
      <c r="B42" s="49"/>
    </row>
    <row r="43" spans="1:2" ht="13.5" thickBot="1">
      <c r="A43" s="48" t="s">
        <v>146</v>
      </c>
      <c r="B43" s="49"/>
    </row>
    <row r="44" spans="1:2" ht="13.5" thickBot="1">
      <c r="A44" s="48" t="s">
        <v>143</v>
      </c>
      <c r="B44" s="49"/>
    </row>
    <row r="45" spans="1:2" ht="13.5" thickBot="1">
      <c r="A45" s="48" t="s">
        <v>153</v>
      </c>
      <c r="B45" s="49"/>
    </row>
    <row r="46" spans="1:2" ht="13.5" thickBot="1">
      <c r="A46" s="48" t="s">
        <v>161</v>
      </c>
      <c r="B46" s="49"/>
    </row>
    <row r="47" spans="1:2" ht="13.5" thickBot="1">
      <c r="A47" s="48" t="s">
        <v>158</v>
      </c>
      <c r="B47" s="49"/>
    </row>
    <row r="48" spans="1:2" ht="13.5" thickBot="1">
      <c r="A48" s="48" t="s">
        <v>163</v>
      </c>
      <c r="B48" s="49"/>
    </row>
    <row r="49" spans="1:2" ht="13.5" thickBot="1">
      <c r="A49" s="48" t="s">
        <v>147</v>
      </c>
      <c r="B49" s="49"/>
    </row>
    <row r="50" spans="1:2" ht="13.5" thickBot="1">
      <c r="A50" s="48" t="s">
        <v>164</v>
      </c>
      <c r="B50" s="49"/>
    </row>
    <row r="51" spans="1:2" ht="13.5" thickBot="1">
      <c r="A51" s="48" t="s">
        <v>155</v>
      </c>
      <c r="B51" s="49"/>
    </row>
    <row r="52" spans="1:2" ht="13.5" thickBot="1">
      <c r="A52" s="48" t="s">
        <v>151</v>
      </c>
      <c r="B52" s="49"/>
    </row>
    <row r="53" spans="1:2" ht="13.5" thickBot="1">
      <c r="A53" s="48" t="s">
        <v>142</v>
      </c>
      <c r="B53" s="49"/>
    </row>
    <row r="54" spans="1:2" ht="13.5" thickBot="1">
      <c r="A54" s="48" t="s">
        <v>4</v>
      </c>
      <c r="B54" s="49"/>
    </row>
    <row r="55" spans="1:2" ht="13.5" thickBot="1">
      <c r="A55" s="48" t="s">
        <v>171</v>
      </c>
      <c r="B55" s="49"/>
    </row>
    <row r="56" spans="1:2" ht="13.5" thickBot="1">
      <c r="A56" s="48" t="s">
        <v>5</v>
      </c>
      <c r="B56" s="49"/>
    </row>
    <row r="57" spans="1:2" ht="13.5" thickBot="1">
      <c r="A57" s="48" t="s">
        <v>3</v>
      </c>
      <c r="B57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59"/>
  <sheetViews>
    <sheetView zoomScale="80" zoomScaleNormal="80" workbookViewId="0">
      <selection activeCell="A2" sqref="A2:I2"/>
    </sheetView>
  </sheetViews>
  <sheetFormatPr defaultRowHeight="12.75"/>
  <cols>
    <col min="1" max="1" width="9.140625" style="5"/>
    <col min="2" max="2" width="22.28515625" style="5" customWidth="1"/>
    <col min="3" max="3" width="24.28515625" style="5" customWidth="1"/>
    <col min="4" max="4" width="15.85546875" style="5" customWidth="1"/>
    <col min="5" max="5" width="17.140625" style="5" customWidth="1"/>
    <col min="6" max="9" width="15.7109375" style="5" customWidth="1"/>
    <col min="10" max="10" width="13.5703125" style="5" customWidth="1"/>
    <col min="11" max="16384" width="9.140625" style="5"/>
  </cols>
  <sheetData>
    <row r="1" spans="1:9" ht="18">
      <c r="A1" s="134" t="s">
        <v>89</v>
      </c>
      <c r="B1" s="134"/>
      <c r="C1" s="134"/>
      <c r="D1" s="134"/>
      <c r="E1" s="134"/>
      <c r="F1" s="134"/>
      <c r="G1" s="134"/>
      <c r="H1" s="134"/>
      <c r="I1" s="134"/>
    </row>
    <row r="2" spans="1:9" s="8" customFormat="1" ht="20.25">
      <c r="A2" s="138" t="s">
        <v>88</v>
      </c>
      <c r="B2" s="138"/>
      <c r="C2" s="138"/>
      <c r="D2" s="138"/>
      <c r="E2" s="138"/>
      <c r="F2" s="138"/>
      <c r="G2" s="138"/>
      <c r="H2" s="138"/>
      <c r="I2" s="138"/>
    </row>
    <row r="3" spans="1:9" s="8" customFormat="1" ht="15.75">
      <c r="A3" s="12"/>
      <c r="B3" s="12"/>
      <c r="C3" s="12"/>
      <c r="D3" s="12"/>
      <c r="E3" s="12"/>
      <c r="F3" s="126"/>
      <c r="G3" s="126"/>
      <c r="H3" s="126"/>
      <c r="I3" s="126"/>
    </row>
    <row r="4" spans="1:9" s="8" customFormat="1" ht="16.5" thickBot="1">
      <c r="A4" s="12"/>
      <c r="B4" s="12" t="s">
        <v>87</v>
      </c>
      <c r="C4" s="42"/>
      <c r="D4" s="12"/>
      <c r="E4" s="132" t="s">
        <v>86</v>
      </c>
      <c r="F4" s="132"/>
      <c r="G4" s="137"/>
      <c r="H4" s="137"/>
      <c r="I4" s="137"/>
    </row>
    <row r="5" spans="1:9" s="8" customFormat="1" ht="16.5" thickBot="1">
      <c r="A5" s="12"/>
      <c r="B5" s="12" t="s">
        <v>85</v>
      </c>
      <c r="C5" s="41"/>
      <c r="D5" s="12"/>
      <c r="E5" s="132" t="s">
        <v>84</v>
      </c>
      <c r="F5" s="132"/>
      <c r="G5" s="136"/>
      <c r="H5" s="136"/>
      <c r="I5" s="136"/>
    </row>
    <row r="6" spans="1:9" s="8" customFormat="1" ht="16.5" thickBot="1">
      <c r="A6" s="12"/>
      <c r="B6" s="40" t="s">
        <v>83</v>
      </c>
      <c r="C6" s="38"/>
      <c r="D6" s="12"/>
      <c r="E6" s="132" t="s">
        <v>82</v>
      </c>
      <c r="F6" s="132"/>
      <c r="G6" s="136"/>
      <c r="H6" s="136"/>
      <c r="I6" s="136"/>
    </row>
    <row r="7" spans="1:9" s="8" customFormat="1" ht="16.5" thickBot="1">
      <c r="A7" s="12"/>
      <c r="B7" s="39" t="s">
        <v>69</v>
      </c>
      <c r="C7" s="38"/>
      <c r="D7" s="12"/>
      <c r="E7" s="132" t="s">
        <v>81</v>
      </c>
      <c r="F7" s="132"/>
      <c r="G7" s="139">
        <f>COUNTA(C6:C9)</f>
        <v>0</v>
      </c>
      <c r="H7" s="139"/>
      <c r="I7" s="139"/>
    </row>
    <row r="8" spans="1:9" s="8" customFormat="1" ht="16.5" thickBot="1">
      <c r="A8" s="12"/>
      <c r="B8" s="39" t="s">
        <v>68</v>
      </c>
      <c r="C8" s="38"/>
      <c r="D8" s="12"/>
      <c r="E8" s="132" t="s">
        <v>80</v>
      </c>
      <c r="F8" s="132"/>
      <c r="G8" s="136"/>
      <c r="H8" s="136"/>
      <c r="I8" s="136"/>
    </row>
    <row r="9" spans="1:9" s="8" customFormat="1" ht="16.5" thickBot="1">
      <c r="A9" s="12"/>
      <c r="B9" s="39" t="s">
        <v>67</v>
      </c>
      <c r="C9" s="38"/>
      <c r="D9" s="12"/>
      <c r="E9" s="132" t="s">
        <v>79</v>
      </c>
      <c r="F9" s="132"/>
      <c r="G9" s="132"/>
      <c r="H9" s="132"/>
      <c r="I9" s="132"/>
    </row>
    <row r="10" spans="1:9" s="8" customFormat="1" ht="15.75">
      <c r="A10" s="12"/>
      <c r="B10" s="12"/>
      <c r="C10" s="22"/>
      <c r="D10" s="12"/>
      <c r="E10" s="12"/>
      <c r="F10" s="12"/>
      <c r="G10" s="12"/>
      <c r="H10" s="12"/>
      <c r="I10" s="12"/>
    </row>
    <row r="11" spans="1:9" s="8" customFormat="1" ht="18.75">
      <c r="A11" s="127" t="s">
        <v>78</v>
      </c>
      <c r="B11" s="127"/>
      <c r="C11" s="127"/>
      <c r="D11" s="127"/>
      <c r="E11" s="127"/>
      <c r="F11" s="127"/>
      <c r="G11" s="127"/>
      <c r="H11" s="127"/>
      <c r="I11" s="127"/>
    </row>
    <row r="12" spans="1:9" s="8" customFormat="1" ht="16.5" thickBot="1">
      <c r="A12" s="12"/>
      <c r="B12" s="135"/>
      <c r="C12" s="135"/>
      <c r="D12" s="135"/>
      <c r="E12" s="37" t="s">
        <v>77</v>
      </c>
      <c r="F12" s="36" t="s">
        <v>52</v>
      </c>
    </row>
    <row r="13" spans="1:9" s="8" customFormat="1" ht="15.75">
      <c r="A13" s="20">
        <v>1</v>
      </c>
      <c r="B13" s="128" t="s">
        <v>76</v>
      </c>
      <c r="C13" s="128"/>
      <c r="D13" s="128"/>
      <c r="E13" s="15">
        <v>1.4999999999999999E-2</v>
      </c>
      <c r="F13" s="35"/>
      <c r="G13" s="33"/>
      <c r="H13" s="33"/>
      <c r="I13" s="33"/>
    </row>
    <row r="14" spans="1:9" s="8" customFormat="1" ht="17.25" customHeight="1">
      <c r="A14" s="20">
        <v>2</v>
      </c>
      <c r="B14" s="133" t="s">
        <v>75</v>
      </c>
      <c r="C14" s="128"/>
      <c r="D14" s="128"/>
      <c r="E14" s="15">
        <v>0.03</v>
      </c>
      <c r="F14" s="34"/>
      <c r="G14" s="33"/>
      <c r="H14" s="33"/>
      <c r="I14" s="33"/>
    </row>
    <row r="15" spans="1:9" s="8" customFormat="1" ht="31.5" customHeight="1">
      <c r="A15" s="20">
        <v>3</v>
      </c>
      <c r="B15" s="133" t="s">
        <v>74</v>
      </c>
      <c r="C15" s="128"/>
      <c r="D15" s="128"/>
      <c r="E15" s="15">
        <v>4.4999999999999998E-2</v>
      </c>
      <c r="F15" s="34"/>
      <c r="G15" s="33"/>
      <c r="H15" s="33"/>
      <c r="I15" s="33"/>
    </row>
    <row r="16" spans="1:9" s="8" customFormat="1" ht="15.75">
      <c r="A16" s="20">
        <v>4</v>
      </c>
      <c r="B16" s="126" t="s">
        <v>73</v>
      </c>
      <c r="C16" s="126"/>
      <c r="D16" s="126"/>
      <c r="E16" s="15">
        <v>0.03</v>
      </c>
      <c r="F16" s="34"/>
      <c r="G16" s="33"/>
      <c r="H16" s="33"/>
      <c r="I16" s="33"/>
    </row>
    <row r="17" spans="1:10" s="8" customFormat="1" ht="15.75">
      <c r="A17" s="20">
        <v>5</v>
      </c>
      <c r="B17" s="126" t="s">
        <v>72</v>
      </c>
      <c r="C17" s="126"/>
      <c r="D17" s="126"/>
      <c r="E17" s="15">
        <v>0.03</v>
      </c>
      <c r="F17" s="34"/>
      <c r="G17" s="33"/>
      <c r="H17" s="33"/>
      <c r="I17" s="33"/>
    </row>
    <row r="18" spans="1:10" s="8" customFormat="1" ht="16.5" thickBot="1">
      <c r="A18" s="24"/>
      <c r="B18" s="126"/>
      <c r="C18" s="126"/>
      <c r="D18" s="126"/>
      <c r="E18" s="11" t="s">
        <v>71</v>
      </c>
      <c r="F18" s="32">
        <f>ROUND((F13*$E13+F14*$E14+F15*$E15+F16*$E16+F17*$E17)*10, 1)</f>
        <v>0</v>
      </c>
      <c r="G18" s="31"/>
      <c r="H18" s="31"/>
      <c r="I18" s="31"/>
    </row>
    <row r="19" spans="1:10" s="8" customFormat="1" ht="15.75">
      <c r="A19" s="24"/>
      <c r="B19" s="12"/>
      <c r="C19" s="12"/>
      <c r="D19" s="12"/>
      <c r="E19" s="11"/>
      <c r="F19" s="22"/>
      <c r="G19" s="22"/>
      <c r="H19" s="22"/>
      <c r="I19" s="22"/>
    </row>
    <row r="20" spans="1:10" s="8" customFormat="1" ht="16.5" thickBot="1">
      <c r="A20" s="24"/>
      <c r="B20" s="12"/>
      <c r="C20" s="12"/>
      <c r="D20" s="12"/>
      <c r="E20" s="11"/>
      <c r="F20" s="30" t="s">
        <v>70</v>
      </c>
      <c r="G20" s="30" t="s">
        <v>69</v>
      </c>
      <c r="H20" s="30" t="s">
        <v>68</v>
      </c>
      <c r="I20" s="30" t="s">
        <v>67</v>
      </c>
    </row>
    <row r="21" spans="1:10" s="8" customFormat="1" ht="34.5" customHeight="1" thickBot="1">
      <c r="A21" s="24"/>
      <c r="B21" s="12"/>
      <c r="C21" s="29" t="str">
        <f>IF(ISBLANK(F21),"", IF(OR(SUM(F21:I21)&lt;99.9,SUM(F21:I21)&gt;100.1),"Sum != 100",""))</f>
        <v/>
      </c>
      <c r="D21" s="28" t="str">
        <f>IF(ISBLANK(F21),"", IF(COUNTA(F21:I21)&lt;&gt;G7,"Incorrect No.of Students",""))</f>
        <v/>
      </c>
      <c r="E21" s="27" t="s">
        <v>66</v>
      </c>
      <c r="F21" s="18"/>
      <c r="G21" s="18"/>
      <c r="H21" s="18"/>
      <c r="I21" s="18"/>
      <c r="J21" s="26"/>
    </row>
    <row r="22" spans="1:10" s="8" customFormat="1" ht="16.5" thickBot="1">
      <c r="A22" s="24"/>
      <c r="B22" s="12"/>
      <c r="C22" s="12"/>
      <c r="D22" s="12"/>
      <c r="E22" s="11" t="s">
        <v>65</v>
      </c>
      <c r="F22" s="25" t="str">
        <f>IF(ISBLANK(F21),"",ROUND($F$18*0.4,1))</f>
        <v/>
      </c>
      <c r="G22" s="25" t="str">
        <f>IF(ISBLANK(G21),"",ROUND($F$18*0.4,1))</f>
        <v/>
      </c>
      <c r="H22" s="25" t="str">
        <f>IF(ISBLANK(H21),"",ROUND($F$18*0.4,1))</f>
        <v/>
      </c>
      <c r="I22" s="25" t="str">
        <f>IF(ISBLANK(I21),"",ROUND($F$18*0.4,1))</f>
        <v/>
      </c>
    </row>
    <row r="23" spans="1:10" s="8" customFormat="1" ht="16.5" thickBot="1">
      <c r="A23" s="24"/>
      <c r="B23" s="12"/>
      <c r="C23" s="12"/>
      <c r="D23" s="12"/>
      <c r="E23" s="11" t="s">
        <v>64</v>
      </c>
      <c r="F23" s="25" t="str">
        <f>IF(ISBLANK(F21),"",ROUND($F$18*0.6*F21/100*$G$7,1))</f>
        <v/>
      </c>
      <c r="G23" s="25" t="str">
        <f>IF(ISBLANK(G21),"",ROUND($F$18*0.6*G21/100*$G$7,1))</f>
        <v/>
      </c>
      <c r="H23" s="25" t="str">
        <f>IF(ISBLANK(H21),"",ROUND($F$18*0.6*H21/100*$G$7,1))</f>
        <v/>
      </c>
      <c r="I23" s="25" t="str">
        <f>IF(ISBLANK(I21),"",ROUND($F$18*0.6*I21/100*$G$7,1))</f>
        <v/>
      </c>
    </row>
    <row r="24" spans="1:10" s="8" customFormat="1" ht="15.75">
      <c r="A24" s="24"/>
      <c r="B24" s="12"/>
      <c r="C24" s="12"/>
      <c r="D24" s="12"/>
      <c r="E24" s="11"/>
    </row>
    <row r="25" spans="1:10" s="8" customFormat="1" ht="16.5" thickBot="1">
      <c r="A25" s="24"/>
      <c r="B25" s="12"/>
      <c r="C25" s="12"/>
      <c r="D25" s="12"/>
      <c r="E25" s="11"/>
      <c r="F25" s="130" t="s">
        <v>52</v>
      </c>
      <c r="G25" s="130"/>
      <c r="H25" s="130"/>
      <c r="I25" s="130"/>
    </row>
    <row r="26" spans="1:10" s="8" customFormat="1" ht="60.75" customHeight="1" thickBot="1">
      <c r="A26" s="20">
        <v>6</v>
      </c>
      <c r="B26" s="131" t="s">
        <v>63</v>
      </c>
      <c r="C26" s="132"/>
      <c r="D26" s="132"/>
      <c r="E26" s="23">
        <v>0.3</v>
      </c>
      <c r="F26" s="18"/>
      <c r="G26" s="18"/>
      <c r="H26" s="18"/>
      <c r="I26" s="18"/>
    </row>
    <row r="27" spans="1:10" s="8" customFormat="1" ht="16.5" thickBot="1">
      <c r="A27" s="12"/>
      <c r="B27" s="126"/>
      <c r="C27" s="126"/>
      <c r="D27" s="126"/>
      <c r="E27" s="11" t="s">
        <v>62</v>
      </c>
      <c r="F27" s="13" t="str">
        <f>IF(ISBLANK(F21),"",ROUND((F26*$E26)*10,1))</f>
        <v/>
      </c>
      <c r="G27" s="13" t="str">
        <f>IF(ISBLANK(G21),"",ROUND((G26*$E26)*10,1))</f>
        <v/>
      </c>
      <c r="H27" s="13" t="str">
        <f>IF(ISBLANK(H21),"",ROUND((H26*$E26)*10,1))</f>
        <v/>
      </c>
      <c r="I27" s="13" t="str">
        <f>IF(ISBLANK(I21),"",ROUND((I26*$E26)*10,1))</f>
        <v/>
      </c>
    </row>
    <row r="28" spans="1:10" s="8" customFormat="1" ht="15.75">
      <c r="A28" s="12"/>
      <c r="B28" s="12"/>
      <c r="C28" s="12"/>
      <c r="D28" s="12"/>
      <c r="E28" s="11"/>
      <c r="F28" s="22"/>
      <c r="G28" s="21"/>
      <c r="H28" s="21"/>
      <c r="I28" s="21"/>
    </row>
    <row r="29" spans="1:10" s="8" customFormat="1" ht="18.75">
      <c r="A29" s="127" t="s">
        <v>61</v>
      </c>
      <c r="B29" s="127"/>
      <c r="C29" s="127"/>
      <c r="D29" s="127"/>
      <c r="E29" s="127"/>
      <c r="F29" s="127"/>
      <c r="G29" s="127"/>
      <c r="H29" s="127"/>
      <c r="I29" s="127"/>
    </row>
    <row r="30" spans="1:10" s="8" customFormat="1" ht="16.5" thickBot="1">
      <c r="F30" s="130" t="s">
        <v>52</v>
      </c>
      <c r="G30" s="130"/>
      <c r="H30" s="130"/>
      <c r="I30" s="130"/>
    </row>
    <row r="31" spans="1:10" s="8" customFormat="1" ht="31.5" customHeight="1" thickBot="1">
      <c r="A31" s="20">
        <v>1</v>
      </c>
      <c r="B31" s="133" t="s">
        <v>60</v>
      </c>
      <c r="C31" s="128"/>
      <c r="D31" s="128"/>
      <c r="E31" s="19">
        <v>0.01</v>
      </c>
      <c r="F31" s="18"/>
      <c r="G31" s="18"/>
      <c r="H31" s="18"/>
      <c r="I31" s="18"/>
    </row>
    <row r="32" spans="1:10" s="8" customFormat="1" ht="16.5" thickBot="1">
      <c r="A32" s="20">
        <v>2</v>
      </c>
      <c r="B32" s="128" t="s">
        <v>59</v>
      </c>
      <c r="C32" s="128"/>
      <c r="D32" s="128"/>
      <c r="E32" s="19">
        <v>0.01</v>
      </c>
      <c r="F32" s="14"/>
      <c r="G32" s="14"/>
      <c r="H32" s="14"/>
      <c r="I32" s="14"/>
    </row>
    <row r="33" spans="1:9" s="8" customFormat="1" ht="16.5" thickBot="1">
      <c r="A33" s="20">
        <v>3</v>
      </c>
      <c r="B33" s="128" t="s">
        <v>58</v>
      </c>
      <c r="C33" s="128"/>
      <c r="D33" s="128"/>
      <c r="E33" s="19">
        <v>5.0000000000000001E-3</v>
      </c>
      <c r="F33" s="14"/>
      <c r="G33" s="14"/>
      <c r="H33" s="14"/>
      <c r="I33" s="14"/>
    </row>
    <row r="34" spans="1:9" s="8" customFormat="1" ht="16.5" thickBot="1">
      <c r="A34" s="20">
        <v>4</v>
      </c>
      <c r="B34" s="128" t="s">
        <v>57</v>
      </c>
      <c r="C34" s="128"/>
      <c r="D34" s="128"/>
      <c r="E34" s="19">
        <v>5.0000000000000001E-3</v>
      </c>
      <c r="F34" s="14"/>
      <c r="G34" s="14"/>
      <c r="H34" s="14"/>
      <c r="I34" s="14"/>
    </row>
    <row r="35" spans="1:9" s="8" customFormat="1" ht="16.5" thickBot="1">
      <c r="A35" s="20">
        <v>5</v>
      </c>
      <c r="B35" s="128" t="s">
        <v>56</v>
      </c>
      <c r="C35" s="128"/>
      <c r="D35" s="128"/>
      <c r="E35" s="19">
        <v>0.01</v>
      </c>
      <c r="F35" s="14"/>
      <c r="G35" s="14"/>
      <c r="H35" s="14"/>
      <c r="I35" s="14"/>
    </row>
    <row r="36" spans="1:9" s="8" customFormat="1" ht="16.5" thickBot="1">
      <c r="A36" s="20">
        <v>6</v>
      </c>
      <c r="B36" s="128" t="s">
        <v>55</v>
      </c>
      <c r="C36" s="128"/>
      <c r="D36" s="128"/>
      <c r="E36" s="19">
        <v>0.01</v>
      </c>
      <c r="F36" s="14"/>
      <c r="G36" s="14"/>
      <c r="H36" s="14"/>
      <c r="I36" s="14"/>
    </row>
    <row r="37" spans="1:9" s="8" customFormat="1" ht="16.5" thickBot="1">
      <c r="A37" s="12"/>
      <c r="B37" s="126"/>
      <c r="C37" s="126"/>
      <c r="D37" s="126"/>
      <c r="E37" s="12"/>
      <c r="F37" s="129"/>
      <c r="G37" s="129"/>
      <c r="H37" s="129"/>
      <c r="I37" s="129"/>
    </row>
    <row r="38" spans="1:9" s="8" customFormat="1" ht="16.5" thickBot="1">
      <c r="A38" s="12"/>
      <c r="B38" s="126"/>
      <c r="C38" s="126"/>
      <c r="D38" s="126"/>
      <c r="E38" s="11" t="s">
        <v>54</v>
      </c>
      <c r="F38" s="13" t="str">
        <f>IF(ISBLANK(F21),"",ROUND((F31*$E31+F32*$E32+F33*$E33+F34*$E34+F35*$E35+F36*$E36)*10,1))</f>
        <v/>
      </c>
      <c r="G38" s="13" t="str">
        <f>IF(ISBLANK(G21),"",ROUND((G31*$E31+G32*$E32+G33*$E33+G34*$E34+G35*$E35+G36*$E36)*10,1))</f>
        <v/>
      </c>
      <c r="H38" s="13" t="str">
        <f>IF(ISBLANK(H21),"",ROUND((H31*$E31+H32*$E32+H33*$E33+H34*$E34+H35*$E35+H36*$E36)*10,1))</f>
        <v/>
      </c>
      <c r="I38" s="13" t="str">
        <f>IF(ISBLANK(I21),"",ROUND((I31*$E31+I32*$E32+I33*$E33+I34*$E34+I35*$E35+I36*$E36)*10,1))</f>
        <v/>
      </c>
    </row>
    <row r="39" spans="1:9" s="8" customFormat="1"/>
    <row r="40" spans="1:9" s="8" customFormat="1" ht="18.75">
      <c r="A40" s="127" t="s">
        <v>53</v>
      </c>
      <c r="B40" s="127"/>
      <c r="C40" s="127"/>
      <c r="D40" s="127"/>
      <c r="E40" s="127"/>
      <c r="F40" s="127"/>
      <c r="G40" s="127"/>
      <c r="H40" s="127"/>
      <c r="I40" s="127"/>
    </row>
    <row r="41" spans="1:9" s="8" customFormat="1" ht="16.5" thickBot="1">
      <c r="F41" s="130" t="s">
        <v>52</v>
      </c>
      <c r="G41" s="130"/>
      <c r="H41" s="130"/>
      <c r="I41" s="130"/>
    </row>
    <row r="42" spans="1:9" s="8" customFormat="1" ht="16.5" thickBot="1">
      <c r="A42" s="11">
        <v>1</v>
      </c>
      <c r="B42" s="128" t="s">
        <v>51</v>
      </c>
      <c r="C42" s="128"/>
      <c r="D42" s="128"/>
      <c r="E42" s="15">
        <v>0.02</v>
      </c>
      <c r="F42" s="18"/>
      <c r="G42" s="16"/>
      <c r="H42" s="16"/>
      <c r="I42" s="16"/>
    </row>
    <row r="43" spans="1:9" s="8" customFormat="1" ht="16.5" thickBot="1">
      <c r="A43" s="11">
        <v>2</v>
      </c>
      <c r="B43" s="128" t="s">
        <v>50</v>
      </c>
      <c r="C43" s="128"/>
      <c r="D43" s="128"/>
      <c r="E43" s="15">
        <v>0.02</v>
      </c>
      <c r="F43" s="14"/>
      <c r="G43" s="17"/>
      <c r="H43" s="17"/>
      <c r="I43" s="16"/>
    </row>
    <row r="44" spans="1:9" s="8" customFormat="1" ht="16.5" thickBot="1">
      <c r="A44" s="11">
        <v>3</v>
      </c>
      <c r="B44" s="128" t="s">
        <v>49</v>
      </c>
      <c r="C44" s="128"/>
      <c r="D44" s="128"/>
      <c r="E44" s="15">
        <v>0.02</v>
      </c>
      <c r="F44" s="14"/>
      <c r="G44" s="17"/>
      <c r="H44" s="17"/>
      <c r="I44" s="16"/>
    </row>
    <row r="45" spans="1:9" s="8" customFormat="1" ht="16.5" thickBot="1">
      <c r="A45" s="11">
        <v>4</v>
      </c>
      <c r="B45" s="128" t="s">
        <v>48</v>
      </c>
      <c r="C45" s="128"/>
      <c r="D45" s="128"/>
      <c r="E45" s="15">
        <v>0.02</v>
      </c>
      <c r="F45" s="14"/>
      <c r="G45" s="17"/>
      <c r="H45" s="17"/>
      <c r="I45" s="16"/>
    </row>
    <row r="46" spans="1:9" s="8" customFormat="1" ht="16.5" thickBot="1">
      <c r="A46" s="11">
        <v>5</v>
      </c>
      <c r="B46" s="128" t="s">
        <v>47</v>
      </c>
      <c r="C46" s="128"/>
      <c r="D46" s="128"/>
      <c r="E46" s="15">
        <v>0.02</v>
      </c>
      <c r="F46" s="14"/>
      <c r="G46" s="14"/>
      <c r="H46" s="14"/>
      <c r="I46" s="14"/>
    </row>
    <row r="47" spans="1:9" s="8" customFormat="1" ht="16.5" thickBot="1">
      <c r="A47" s="12"/>
      <c r="B47" s="126"/>
      <c r="C47" s="126"/>
      <c r="D47" s="126"/>
      <c r="E47" s="12"/>
      <c r="F47" s="129"/>
      <c r="G47" s="129"/>
      <c r="H47" s="129"/>
      <c r="I47" s="129"/>
    </row>
    <row r="48" spans="1:9" s="8" customFormat="1" ht="16.5" thickBot="1">
      <c r="A48" s="12"/>
      <c r="B48" s="126"/>
      <c r="C48" s="126"/>
      <c r="D48" s="126"/>
      <c r="E48" s="11" t="s">
        <v>46</v>
      </c>
      <c r="F48" s="13" t="str">
        <f>IF(ISBLANK(F21),"",ROUND((F42*$E42+F43*$E43+F44*$E44+F45*$E45+F46*$E46)*10,1))</f>
        <v/>
      </c>
      <c r="G48" s="13" t="str">
        <f>IF(ISBLANK(G21),"",ROUND((G42*$E42+G43*$E43+G44*$E44+G45*$E45+G46*$E46)*10,1))</f>
        <v/>
      </c>
      <c r="H48" s="13" t="str">
        <f>IF(ISBLANK(H21),"",ROUND((H42*$E42+H43*$E43+H44*$E44+H45*$E45+H46*$E46)*10,1))</f>
        <v/>
      </c>
      <c r="I48" s="13" t="str">
        <f>IF(ISBLANK(I21),"",ROUND((I42*$E42+I43*$E43+I44*$E44+I45*$E45+I46*$E46)*10,1))</f>
        <v/>
      </c>
    </row>
    <row r="49" spans="1:9" s="8" customFormat="1" ht="16.5" thickBot="1">
      <c r="A49" s="12"/>
      <c r="B49" s="12"/>
      <c r="C49" s="12"/>
      <c r="D49" s="12"/>
      <c r="E49" s="11"/>
    </row>
    <row r="50" spans="1:9" s="8" customFormat="1" ht="16.5" thickBot="1">
      <c r="E50" s="10" t="s">
        <v>45</v>
      </c>
      <c r="F50" s="9" t="str">
        <f>IF(ISBLANK(F21),"",F22+F23+F27+F38+F48)</f>
        <v/>
      </c>
      <c r="G50" s="9" t="str">
        <f>IF(ISBLANK(G21),"",G22+G23+G27+G38+G48)</f>
        <v/>
      </c>
      <c r="H50" s="9" t="str">
        <f>IF(ISBLANK(H21),"",H22+H23+H27+H38+H48)</f>
        <v/>
      </c>
      <c r="I50" s="9" t="str">
        <f>IF(ISBLANK(I21),"",I22+I23+I27+I38+I48)</f>
        <v/>
      </c>
    </row>
    <row r="51" spans="1:9" ht="16.5">
      <c r="A51" s="7"/>
      <c r="B51" s="7"/>
      <c r="C51" s="7"/>
      <c r="D51" s="7"/>
      <c r="E51" s="6"/>
    </row>
    <row r="52" spans="1:9" ht="16.5">
      <c r="A52" s="7"/>
      <c r="B52" s="7"/>
      <c r="C52" s="7"/>
      <c r="D52" s="7"/>
      <c r="E52" s="6"/>
    </row>
    <row r="53" spans="1:9" ht="16.5">
      <c r="A53" s="7"/>
      <c r="B53" s="7"/>
      <c r="C53" s="7"/>
      <c r="D53" s="7"/>
      <c r="E53" s="6"/>
    </row>
    <row r="54" spans="1:9" ht="16.5">
      <c r="A54" s="7"/>
      <c r="B54" s="7"/>
      <c r="C54" s="7"/>
      <c r="D54" s="7"/>
      <c r="E54" s="6"/>
    </row>
    <row r="55" spans="1:9" ht="16.5">
      <c r="A55" s="7"/>
      <c r="B55" s="7"/>
      <c r="C55" s="7"/>
      <c r="D55" s="7"/>
      <c r="E55" s="6"/>
    </row>
    <row r="56" spans="1:9" ht="16.5">
      <c r="A56" s="7"/>
      <c r="B56" s="7"/>
      <c r="C56" s="7"/>
      <c r="D56" s="7"/>
      <c r="E56" s="6"/>
    </row>
    <row r="57" spans="1:9" ht="16.5">
      <c r="A57" s="7"/>
      <c r="B57" s="7"/>
      <c r="C57" s="7"/>
      <c r="D57" s="7"/>
      <c r="E57" s="6"/>
    </row>
    <row r="58" spans="1:9" ht="16.5">
      <c r="A58" s="7"/>
      <c r="B58" s="7"/>
      <c r="C58" s="7"/>
      <c r="D58" s="7"/>
      <c r="E58" s="6"/>
    </row>
    <row r="59" spans="1:9" ht="16.5">
      <c r="A59" s="7"/>
      <c r="B59" s="7"/>
      <c r="C59" s="7"/>
      <c r="D59" s="7"/>
      <c r="E59" s="6"/>
    </row>
  </sheetData>
  <mergeCells count="46">
    <mergeCell ref="F25:I25"/>
    <mergeCell ref="A11:I11"/>
    <mergeCell ref="E9:I9"/>
    <mergeCell ref="E6:F6"/>
    <mergeCell ref="E7:F7"/>
    <mergeCell ref="G6:I6"/>
    <mergeCell ref="G7:I7"/>
    <mergeCell ref="G8:I8"/>
    <mergeCell ref="B16:D16"/>
    <mergeCell ref="A1:I1"/>
    <mergeCell ref="A29:I29"/>
    <mergeCell ref="F3:I3"/>
    <mergeCell ref="B12:D12"/>
    <mergeCell ref="B13:D13"/>
    <mergeCell ref="B14:D14"/>
    <mergeCell ref="G5:I5"/>
    <mergeCell ref="G4:I4"/>
    <mergeCell ref="E4:F4"/>
    <mergeCell ref="E5:F5"/>
    <mergeCell ref="B17:D17"/>
    <mergeCell ref="B27:D27"/>
    <mergeCell ref="E8:F8"/>
    <mergeCell ref="B15:D15"/>
    <mergeCell ref="A2:I2"/>
    <mergeCell ref="B18:D18"/>
    <mergeCell ref="B38:D38"/>
    <mergeCell ref="B32:D32"/>
    <mergeCell ref="B35:D35"/>
    <mergeCell ref="B37:D37"/>
    <mergeCell ref="B33:D33"/>
    <mergeCell ref="B34:D34"/>
    <mergeCell ref="F37:I37"/>
    <mergeCell ref="F30:I30"/>
    <mergeCell ref="B26:D26"/>
    <mergeCell ref="B31:D31"/>
    <mergeCell ref="B36:D36"/>
    <mergeCell ref="B48:D48"/>
    <mergeCell ref="A40:I40"/>
    <mergeCell ref="B42:D42"/>
    <mergeCell ref="B43:D43"/>
    <mergeCell ref="B44:D44"/>
    <mergeCell ref="B46:D46"/>
    <mergeCell ref="B47:D47"/>
    <mergeCell ref="B45:D45"/>
    <mergeCell ref="F47:I47"/>
    <mergeCell ref="F41:I41"/>
  </mergeCells>
  <phoneticPr fontId="4" type="noConversion"/>
  <pageMargins left="0.42" right="0.32" top="0.5" bottom="0.48" header="0.5" footer="0.5"/>
  <pageSetup paperSize="9" scale="6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Group</vt:lpstr>
      <vt:lpstr>Name List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Cristal CHOI</dc:creator>
  <cp:lastModifiedBy>cyrus</cp:lastModifiedBy>
  <cp:lastPrinted>2015-04-20T10:23:33Z</cp:lastPrinted>
  <dcterms:created xsi:type="dcterms:W3CDTF">2013-09-03T02:48:05Z</dcterms:created>
  <dcterms:modified xsi:type="dcterms:W3CDTF">2015-12-17T06:12:36Z</dcterms:modified>
</cp:coreProperties>
</file>