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VEAutomationTools\"/>
    </mc:Choice>
  </mc:AlternateContent>
  <bookViews>
    <workbookView xWindow="360" yWindow="330" windowWidth="14940" windowHeight="9090" activeTab="1"/>
  </bookViews>
  <sheets>
    <sheet name="Group" sheetId="1" r:id="rId1"/>
    <sheet name="Template" sheetId="2" r:id="rId2"/>
  </sheets>
  <definedNames>
    <definedName name="_xlnm._FilterDatabase" localSheetId="0" hidden="1">Group!$A$3:$E$43</definedName>
  </definedNames>
  <calcPr calcId="152511"/>
</workbook>
</file>

<file path=xl/calcChain.xml><?xml version="1.0" encoding="utf-8"?>
<calcChain xmlns="http://schemas.openxmlformats.org/spreadsheetml/2006/main">
  <c r="G7" i="2" l="1"/>
  <c r="F18" i="2"/>
  <c r="C21" i="2"/>
  <c r="D21" i="2"/>
  <c r="F22" i="2"/>
  <c r="G22" i="2"/>
  <c r="H22" i="2"/>
  <c r="I22" i="2"/>
  <c r="F23" i="2"/>
  <c r="G23" i="2"/>
  <c r="H23" i="2"/>
  <c r="I23" i="2"/>
  <c r="F27" i="2"/>
  <c r="G27" i="2"/>
  <c r="H27" i="2"/>
  <c r="I27" i="2"/>
  <c r="F38" i="2"/>
  <c r="G38" i="2"/>
  <c r="H38" i="2"/>
  <c r="I38" i="2"/>
  <c r="F48" i="2"/>
  <c r="G48" i="2"/>
  <c r="H48" i="2"/>
  <c r="I48" i="2"/>
  <c r="F50" i="2"/>
  <c r="G50" i="2"/>
  <c r="H50" i="2"/>
  <c r="I50" i="2"/>
</calcChain>
</file>

<file path=xl/sharedStrings.xml><?xml version="1.0" encoding="utf-8"?>
<sst xmlns="http://schemas.openxmlformats.org/spreadsheetml/2006/main" count="309" uniqueCount="189">
  <si>
    <t>Class</t>
  </si>
  <si>
    <t>Name</t>
  </si>
  <si>
    <t>Chinese Name</t>
  </si>
  <si>
    <t>AU Chun Kit</t>
  </si>
  <si>
    <t>區俊傑</t>
  </si>
  <si>
    <t>CHAN Chi Chung</t>
  </si>
  <si>
    <t>陳智聰</t>
  </si>
  <si>
    <t>CHAN Chun Wah</t>
  </si>
  <si>
    <t>陳俊華</t>
  </si>
  <si>
    <t>CHAN Ka Wing</t>
  </si>
  <si>
    <t>陳嘉穎</t>
  </si>
  <si>
    <t>CHAN Man Chi</t>
  </si>
  <si>
    <t>陳文智</t>
  </si>
  <si>
    <t>CHEUNG Man Kit</t>
  </si>
  <si>
    <t>張文傑</t>
  </si>
  <si>
    <t>CHEUNG Tsun Kit</t>
  </si>
  <si>
    <t>張浚傑</t>
  </si>
  <si>
    <t>CHEUNG Yau Pan</t>
  </si>
  <si>
    <t>張有檳</t>
  </si>
  <si>
    <t>CHOI Lok Fai</t>
  </si>
  <si>
    <t>蔡樂暉</t>
  </si>
  <si>
    <t>CHUNG Cho Ho</t>
  </si>
  <si>
    <t>鍾楚浩</t>
  </si>
  <si>
    <t>CHUNG Wing Ho</t>
  </si>
  <si>
    <t>鍾泳豪</t>
  </si>
  <si>
    <t>FONG Pok Fung</t>
  </si>
  <si>
    <t>方博豐</t>
  </si>
  <si>
    <t>FUNG Hon Pong</t>
  </si>
  <si>
    <t>馮漢邦</t>
  </si>
  <si>
    <t>HON Yiu Wing</t>
  </si>
  <si>
    <t>韓耀榮</t>
  </si>
  <si>
    <t>KO Chi Kit</t>
  </si>
  <si>
    <t>高志傑</t>
  </si>
  <si>
    <t>KWOK Ka Yue</t>
  </si>
  <si>
    <t>郭嘉裕</t>
  </si>
  <si>
    <t>KWOK Wing Chun</t>
  </si>
  <si>
    <t>郭永俊</t>
  </si>
  <si>
    <t>KWONG Hang Lap</t>
  </si>
  <si>
    <t>鄺恒立</t>
  </si>
  <si>
    <t>LAI Man Kit</t>
  </si>
  <si>
    <t>賴汶傑</t>
  </si>
  <si>
    <t>LAM Chun To</t>
  </si>
  <si>
    <t>林俊滔</t>
  </si>
  <si>
    <t>LAU Ka Kin</t>
  </si>
  <si>
    <t>劉家健</t>
  </si>
  <si>
    <t>LAU Wing Ho</t>
  </si>
  <si>
    <t>劉泳豪</t>
  </si>
  <si>
    <t>LAU Yat Wai</t>
  </si>
  <si>
    <t>劉日偉</t>
  </si>
  <si>
    <t>LEE Hon Sang</t>
  </si>
  <si>
    <t>李瀚生</t>
  </si>
  <si>
    <t>LIN Ka Kit</t>
  </si>
  <si>
    <t>連嘉傑</t>
  </si>
  <si>
    <t>LIU Ming Fai</t>
  </si>
  <si>
    <t>廖明輝</t>
  </si>
  <si>
    <t>NG Wai Lun</t>
  </si>
  <si>
    <t>吳煒麟</t>
  </si>
  <si>
    <t>SZE Chun Kit</t>
  </si>
  <si>
    <t>施駿傑</t>
  </si>
  <si>
    <t>TAM Wai Ming</t>
  </si>
  <si>
    <t>談衞明</t>
  </si>
  <si>
    <t>TING Kwan Yui</t>
  </si>
  <si>
    <t>丁君銳</t>
  </si>
  <si>
    <t>TSANG Yik Chun Taurus</t>
  </si>
  <si>
    <t>曾奕駿</t>
  </si>
  <si>
    <t>TSE Tsz Yuen</t>
  </si>
  <si>
    <t>謝子炫</t>
  </si>
  <si>
    <t>WONG Cho Yiu</t>
  </si>
  <si>
    <t>黃祖堯</t>
  </si>
  <si>
    <t>WONG Chun Chung</t>
  </si>
  <si>
    <t>黃振中</t>
  </si>
  <si>
    <t>WONG Wing On</t>
  </si>
  <si>
    <t>黃永安</t>
  </si>
  <si>
    <t>YEUNG Cheuk Yim</t>
  </si>
  <si>
    <t>楊卓炎</t>
  </si>
  <si>
    <t>YEUNG Wan Sing</t>
  </si>
  <si>
    <t>楊允升</t>
  </si>
  <si>
    <t>YIM Wai Lun Alan</t>
  </si>
  <si>
    <t>嚴惠麟</t>
  </si>
  <si>
    <t>YU Kin Fai</t>
  </si>
  <si>
    <t>余健輝</t>
  </si>
  <si>
    <t>Group ID</t>
  </si>
  <si>
    <t>A1</t>
  </si>
  <si>
    <t>A2</t>
  </si>
  <si>
    <t>A3</t>
  </si>
  <si>
    <t>A4</t>
  </si>
  <si>
    <t>A5</t>
  </si>
  <si>
    <t>B1</t>
  </si>
  <si>
    <t>B2</t>
  </si>
  <si>
    <t>B3</t>
  </si>
  <si>
    <t>B4</t>
  </si>
  <si>
    <t>A6</t>
  </si>
  <si>
    <t>B5</t>
  </si>
  <si>
    <t>Supervisor</t>
  </si>
  <si>
    <t>HY Lee</t>
  </si>
  <si>
    <t>LW897, Tel.: 39282661</t>
  </si>
  <si>
    <t>hylee617@vtc.edu.hk</t>
  </si>
  <si>
    <t>LW896, Tel.: 39282608</t>
  </si>
  <si>
    <t>spkwong@vtc.edu.hk</t>
  </si>
  <si>
    <t>Stanley Wong</t>
  </si>
  <si>
    <t>Cyrus Wong</t>
  </si>
  <si>
    <t>LW333, Tel.: 39282662</t>
  </si>
  <si>
    <t>cywong@vtc.edu.hk</t>
  </si>
  <si>
    <t xml:space="preserve">cywong@vtc.edu.hk </t>
  </si>
  <si>
    <t>Ada Yuen</t>
  </si>
  <si>
    <t>LW896, Tel.: 39282640</t>
  </si>
  <si>
    <t>adayuen@vtc.edu.hk</t>
  </si>
  <si>
    <t>Carmen Wong</t>
  </si>
  <si>
    <t>LW333, Tel.: 39282649</t>
  </si>
  <si>
    <t>wongyf@vtc.edu.hk</t>
  </si>
  <si>
    <t>Edward Ma</t>
  </si>
  <si>
    <t>edwardma@vtc.edu.hk</t>
  </si>
  <si>
    <t xml:space="preserve">LW897, Tel.: 39282595  </t>
  </si>
  <si>
    <t>Co-marker</t>
  </si>
  <si>
    <t>30 April (Thu)</t>
  </si>
  <si>
    <t>9:00am - 9:25am</t>
  </si>
  <si>
    <t>9:40am - 10:05am</t>
  </si>
  <si>
    <r>
      <t xml:space="preserve">Final Report Presentation and Demonstration
(Each team has </t>
    </r>
    <r>
      <rPr>
        <b/>
        <sz val="10"/>
        <color indexed="10"/>
        <rFont val="Arial"/>
        <family val="2"/>
      </rPr>
      <t>25 miniutes</t>
    </r>
    <r>
      <rPr>
        <b/>
        <sz val="10"/>
        <rFont val="Arial"/>
        <family val="2"/>
      </rPr>
      <t xml:space="preserve"> to present and demo its project (excluding Q&amp;A))
(Students are required to present in English)</t>
    </r>
  </si>
  <si>
    <t>2A</t>
  </si>
  <si>
    <t>(4-1)</t>
  </si>
  <si>
    <t>(4-2)</t>
  </si>
  <si>
    <t>(4-3)</t>
  </si>
  <si>
    <t>2B</t>
  </si>
  <si>
    <t>10:20am - 10:45am</t>
  </si>
  <si>
    <t>29 April (Wed)</t>
  </si>
  <si>
    <t>(3-1)</t>
  </si>
  <si>
    <t>11:00am - 11:25am</t>
  </si>
  <si>
    <t>(4-4)</t>
  </si>
  <si>
    <t>(3-2)</t>
  </si>
  <si>
    <t>(3-3)</t>
  </si>
  <si>
    <t>(3-4)</t>
  </si>
  <si>
    <t>11:40am - 12:05am</t>
  </si>
  <si>
    <t>(3-5)</t>
  </si>
  <si>
    <t>1:30pm - 1:55pm</t>
  </si>
  <si>
    <t>2:10pm - 2:35pm</t>
  </si>
  <si>
    <t>(3-6)</t>
  </si>
  <si>
    <t>(4-5)</t>
  </si>
  <si>
    <t>A536</t>
  </si>
  <si>
    <t>Overall (0-60):</t>
  </si>
  <si>
    <t>Total (0 - 10):</t>
  </si>
  <si>
    <t>Co-operation with team-mates</t>
  </si>
  <si>
    <t>Communication skills</t>
  </si>
  <si>
    <t>Resources allocation skills</t>
  </si>
  <si>
    <t>Problem handling skills</t>
  </si>
  <si>
    <t>Planning skills</t>
  </si>
  <si>
    <t>Marks (0-10)</t>
  </si>
  <si>
    <t>Project Management (10%)</t>
  </si>
  <si>
    <t>Total (0 - 5):</t>
  </si>
  <si>
    <t>Question handling skill</t>
  </si>
  <si>
    <t>Presentation and demonstration skill</t>
  </si>
  <si>
    <t>Design of operation flow in the demonstration</t>
  </si>
  <si>
    <t>System setup for the demonstration</t>
  </si>
  <si>
    <t>Preparation of the presentation</t>
  </si>
  <si>
    <t>Selected material for the presentation (completeness, appropriateness/
relativeness)</t>
  </si>
  <si>
    <t>Final Presentation and Demonstration (5%)</t>
  </si>
  <si>
    <t>Total (0 - 30):</t>
  </si>
  <si>
    <t>Quality of implementation (completeness and correctness, 
Programming projects: user-friendliness, user-interface design              Admin Project: reliability, security, manageability)</t>
    <phoneticPr fontId="9" type="noConversion"/>
  </si>
  <si>
    <t>Individual Mark (0-9)</t>
  </si>
  <si>
    <t>Group Mark (0-6)</t>
  </si>
  <si>
    <t>Contribution %
(0-100)</t>
  </si>
  <si>
    <t>(4)</t>
  </si>
  <si>
    <t>(3)</t>
  </si>
  <si>
    <t>(2)</t>
  </si>
  <si>
    <t>(1)</t>
  </si>
  <si>
    <t>Total (0 - 15):</t>
  </si>
  <si>
    <t>Critical evaluation of work</t>
  </si>
  <si>
    <t>Testing (test plan and test results)</t>
  </si>
  <si>
    <t>Design of solution (completeness and correctness, clarity, modularity
 and flexibility, and complexity)</t>
  </si>
  <si>
    <t>Problem analysis (research / literature review / background)</t>
  </si>
  <si>
    <t>Structure / document</t>
  </si>
  <si>
    <t>Weighting</t>
  </si>
  <si>
    <t>Report and Completed Product (45%)</t>
  </si>
  <si>
    <t>*-  Delete where inappropriate</t>
  </si>
  <si>
    <t>Date:</t>
  </si>
  <si>
    <t>No. of Students:</t>
  </si>
  <si>
    <t>Signature:</t>
  </si>
  <si>
    <t>Students: (1)</t>
  </si>
  <si>
    <t>Supervisor/Co-marker*:</t>
  </si>
  <si>
    <t>Project ID:</t>
  </si>
  <si>
    <t>Project Title:</t>
  </si>
  <si>
    <t>Programme/Class:</t>
  </si>
  <si>
    <t>Assessment Sheet - Final Report and Project Management (60%)</t>
  </si>
  <si>
    <t>Final Year Project (ITE4106M )</t>
  </si>
  <si>
    <t>Project Title</t>
    <phoneticPr fontId="9" type="noConversion"/>
  </si>
  <si>
    <t>IT114115</t>
    <phoneticPr fontId="9" type="noConversion"/>
  </si>
  <si>
    <t>, Final Year Project, 2014-15, Final Report</t>
  </si>
  <si>
    <t>Student No</t>
  </si>
  <si>
    <t>Number of Group</t>
  </si>
  <si>
    <t>(Update the number before Generate the Form)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</si>
</sst>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6">
    <font>
      <sz val="10"/>
      <name val="Arial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9"/>
      <name val="細明體"/>
      <family val="3"/>
      <charset val="136"/>
    </font>
    <font>
      <sz val="12"/>
      <name val="新細明體"/>
      <family val="1"/>
      <charset val="136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sz val="12"/>
      <color indexed="10"/>
      <name val="Times New Roman"/>
      <family val="1"/>
    </font>
    <font>
      <u/>
      <sz val="12"/>
      <name val="Times New Roman"/>
      <family val="1"/>
    </font>
    <font>
      <sz val="11"/>
      <name val="Times New Roman"/>
      <family val="1"/>
    </font>
    <font>
      <b/>
      <sz val="16"/>
      <name val="Times New Roman"/>
      <family val="1"/>
    </font>
    <font>
      <b/>
      <sz val="14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sz val="18"/>
      <name val="Arial"/>
      <family val="2"/>
    </font>
    <font>
      <sz val="26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>
      <alignment vertical="center"/>
    </xf>
  </cellStyleXfs>
  <cellXfs count="164">
    <xf numFmtId="0" fontId="0" fillId="0" borderId="0" xfId="0"/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left" wrapText="1"/>
    </xf>
    <xf numFmtId="0" fontId="1" fillId="2" borderId="3" xfId="0" applyFont="1" applyFill="1" applyBorder="1" applyAlignment="1">
      <alignment horizontal="left" wrapText="1"/>
    </xf>
    <xf numFmtId="0" fontId="1" fillId="2" borderId="4" xfId="0" applyFont="1" applyFill="1" applyBorder="1" applyAlignment="1">
      <alignment horizontal="left" wrapText="1"/>
    </xf>
    <xf numFmtId="0" fontId="1" fillId="2" borderId="5" xfId="0" applyFont="1" applyFill="1" applyBorder="1" applyAlignment="1">
      <alignment horizontal="center" wrapText="1"/>
    </xf>
    <xf numFmtId="0" fontId="3" fillId="2" borderId="6" xfId="0" applyFont="1" applyFill="1" applyBorder="1" applyAlignment="1">
      <alignment horizontal="center" wrapText="1"/>
    </xf>
    <xf numFmtId="0" fontId="0" fillId="3" borderId="7" xfId="0" applyFill="1" applyBorder="1" applyAlignment="1">
      <alignment horizontal="left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left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left" wrapText="1"/>
    </xf>
    <xf numFmtId="0" fontId="0" fillId="3" borderId="15" xfId="0" applyFill="1" applyBorder="1" applyAlignment="1">
      <alignment horizontal="center" wrapText="1"/>
    </xf>
    <xf numFmtId="0" fontId="5" fillId="3" borderId="12" xfId="1" applyFill="1" applyBorder="1" applyAlignment="1">
      <alignment horizontal="center"/>
    </xf>
    <xf numFmtId="0" fontId="5" fillId="3" borderId="13" xfId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 wrapText="1"/>
    </xf>
    <xf numFmtId="0" fontId="0" fillId="3" borderId="19" xfId="0" applyFill="1" applyBorder="1" applyAlignment="1">
      <alignment horizontal="left" wrapText="1"/>
    </xf>
    <xf numFmtId="0" fontId="0" fillId="3" borderId="20" xfId="0" applyFill="1" applyBorder="1" applyAlignment="1">
      <alignment horizontal="center" wrapText="1"/>
    </xf>
    <xf numFmtId="0" fontId="5" fillId="3" borderId="21" xfId="1" applyFill="1" applyBorder="1" applyAlignment="1">
      <alignment horizontal="center"/>
    </xf>
    <xf numFmtId="0" fontId="5" fillId="3" borderId="22" xfId="1" applyFill="1" applyBorder="1" applyAlignment="1">
      <alignment horizontal="center"/>
    </xf>
    <xf numFmtId="0" fontId="0" fillId="3" borderId="23" xfId="0" applyFill="1" applyBorder="1" applyAlignment="1">
      <alignment horizontal="left" wrapText="1"/>
    </xf>
    <xf numFmtId="0" fontId="0" fillId="3" borderId="24" xfId="0" applyFill="1" applyBorder="1" applyAlignment="1">
      <alignment horizontal="center" wrapText="1"/>
    </xf>
    <xf numFmtId="0" fontId="0" fillId="3" borderId="25" xfId="0" applyFill="1" applyBorder="1" applyAlignment="1">
      <alignment horizontal="center" wrapText="1"/>
    </xf>
    <xf numFmtId="0" fontId="0" fillId="3" borderId="26" xfId="0" applyFill="1" applyBorder="1" applyAlignment="1">
      <alignment horizontal="left" wrapText="1"/>
    </xf>
    <xf numFmtId="0" fontId="0" fillId="3" borderId="27" xfId="0" applyFill="1" applyBorder="1" applyAlignment="1">
      <alignment horizontal="center" wrapText="1"/>
    </xf>
    <xf numFmtId="0" fontId="5" fillId="3" borderId="28" xfId="1" applyFill="1" applyBorder="1" applyAlignment="1">
      <alignment horizontal="center"/>
    </xf>
    <xf numFmtId="0" fontId="5" fillId="3" borderId="29" xfId="1" applyFill="1" applyBorder="1" applyAlignment="1">
      <alignment horizontal="center"/>
    </xf>
    <xf numFmtId="49" fontId="6" fillId="3" borderId="30" xfId="0" applyNumberFormat="1" applyFont="1" applyFill="1" applyBorder="1" applyAlignment="1">
      <alignment horizontal="center"/>
    </xf>
    <xf numFmtId="49" fontId="6" fillId="3" borderId="31" xfId="0" applyNumberFormat="1" applyFont="1" applyFill="1" applyBorder="1" applyAlignment="1">
      <alignment horizontal="center"/>
    </xf>
    <xf numFmtId="49" fontId="6" fillId="3" borderId="32" xfId="0" applyNumberFormat="1" applyFont="1" applyFill="1" applyBorder="1" applyAlignment="1">
      <alignment horizontal="center"/>
    </xf>
    <xf numFmtId="49" fontId="6" fillId="3" borderId="33" xfId="0" applyNumberFormat="1" applyFont="1" applyFill="1" applyBorder="1" applyAlignment="1">
      <alignment horizontal="center"/>
    </xf>
    <xf numFmtId="49" fontId="6" fillId="3" borderId="34" xfId="0" applyNumberFormat="1" applyFont="1" applyFill="1" applyBorder="1" applyAlignment="1">
      <alignment horizontal="center"/>
    </xf>
    <xf numFmtId="0" fontId="4" fillId="3" borderId="35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49" fontId="0" fillId="0" borderId="0" xfId="0" applyNumberFormat="1"/>
    <xf numFmtId="49" fontId="4" fillId="0" borderId="0" xfId="0" applyNumberFormat="1" applyFont="1"/>
    <xf numFmtId="0" fontId="8" fillId="3" borderId="7" xfId="0" applyFont="1" applyFill="1" applyBorder="1" applyAlignment="1">
      <alignment horizontal="left" wrapText="1"/>
    </xf>
    <xf numFmtId="0" fontId="4" fillId="3" borderId="36" xfId="0" applyFont="1" applyFill="1" applyBorder="1" applyAlignment="1">
      <alignment horizontal="center" wrapText="1"/>
    </xf>
    <xf numFmtId="0" fontId="4" fillId="3" borderId="37" xfId="0" applyFont="1" applyFill="1" applyBorder="1" applyAlignment="1">
      <alignment horizontal="center" wrapText="1"/>
    </xf>
    <xf numFmtId="0" fontId="4" fillId="3" borderId="38" xfId="0" applyFont="1" applyFill="1" applyBorder="1" applyAlignment="1">
      <alignment horizontal="center" wrapText="1"/>
    </xf>
    <xf numFmtId="0" fontId="6" fillId="3" borderId="7" xfId="0" applyFont="1" applyFill="1" applyBorder="1" applyAlignment="1">
      <alignment horizontal="left" wrapText="1"/>
    </xf>
    <xf numFmtId="0" fontId="4" fillId="3" borderId="39" xfId="0" applyFont="1" applyFill="1" applyBorder="1" applyAlignment="1">
      <alignment horizontal="center" wrapText="1"/>
    </xf>
    <xf numFmtId="0" fontId="6" fillId="3" borderId="10" xfId="0" applyFont="1" applyFill="1" applyBorder="1" applyAlignment="1">
      <alignment horizontal="left" wrapText="1"/>
    </xf>
    <xf numFmtId="0" fontId="6" fillId="3" borderId="14" xfId="0" applyFont="1" applyFill="1" applyBorder="1" applyAlignment="1">
      <alignment horizontal="left" wrapText="1"/>
    </xf>
    <xf numFmtId="0" fontId="4" fillId="4" borderId="36" xfId="0" applyFont="1" applyFill="1" applyBorder="1" applyAlignment="1">
      <alignment horizontal="center" wrapText="1"/>
    </xf>
    <xf numFmtId="0" fontId="6" fillId="4" borderId="7" xfId="0" applyFont="1" applyFill="1" applyBorder="1" applyAlignment="1">
      <alignment horizontal="left" wrapText="1"/>
    </xf>
    <xf numFmtId="0" fontId="0" fillId="4" borderId="7" xfId="0" applyFill="1" applyBorder="1" applyAlignment="1">
      <alignment horizontal="left" wrapText="1"/>
    </xf>
    <xf numFmtId="0" fontId="0" fillId="4" borderId="8" xfId="0" applyFill="1" applyBorder="1" applyAlignment="1">
      <alignment horizontal="center" wrapText="1"/>
    </xf>
    <xf numFmtId="0" fontId="0" fillId="4" borderId="9" xfId="0" applyFill="1" applyBorder="1" applyAlignment="1">
      <alignment horizontal="center"/>
    </xf>
    <xf numFmtId="0" fontId="4" fillId="4" borderId="35" xfId="0" applyFont="1" applyFill="1" applyBorder="1" applyAlignment="1">
      <alignment horizontal="center"/>
    </xf>
    <xf numFmtId="49" fontId="6" fillId="4" borderId="30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wrapText="1"/>
    </xf>
    <xf numFmtId="0" fontId="0" fillId="4" borderId="10" xfId="0" applyFill="1" applyBorder="1" applyAlignment="1">
      <alignment horizontal="left" wrapText="1"/>
    </xf>
    <xf numFmtId="0" fontId="8" fillId="4" borderId="10" xfId="0" applyFont="1" applyFill="1" applyBorder="1" applyAlignment="1">
      <alignment horizontal="left" wrapText="1"/>
    </xf>
    <xf numFmtId="0" fontId="0" fillId="4" borderId="11" xfId="0" applyFill="1" applyBorder="1" applyAlignment="1">
      <alignment horizont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49" fontId="6" fillId="4" borderId="31" xfId="0" applyNumberFormat="1" applyFont="1" applyFill="1" applyBorder="1" applyAlignment="1">
      <alignment horizontal="center"/>
    </xf>
    <xf numFmtId="0" fontId="4" fillId="4" borderId="38" xfId="0" applyFont="1" applyFill="1" applyBorder="1" applyAlignment="1">
      <alignment horizontal="center" wrapText="1"/>
    </xf>
    <xf numFmtId="0" fontId="0" fillId="4" borderId="23" xfId="0" applyFill="1" applyBorder="1" applyAlignment="1">
      <alignment horizontal="left" wrapText="1"/>
    </xf>
    <xf numFmtId="0" fontId="0" fillId="4" borderId="24" xfId="0" applyFill="1" applyBorder="1" applyAlignment="1">
      <alignment horizontal="center" wrapText="1"/>
    </xf>
    <xf numFmtId="0" fontId="5" fillId="4" borderId="12" xfId="1" applyFill="1" applyBorder="1" applyAlignment="1">
      <alignment horizontal="center"/>
    </xf>
    <xf numFmtId="0" fontId="5" fillId="4" borderId="13" xfId="1" applyFill="1" applyBorder="1" applyAlignment="1">
      <alignment horizontal="center"/>
    </xf>
    <xf numFmtId="0" fontId="0" fillId="4" borderId="18" xfId="0" applyFill="1" applyBorder="1" applyAlignment="1">
      <alignment horizontal="center" wrapText="1"/>
    </xf>
    <xf numFmtId="0" fontId="0" fillId="4" borderId="19" xfId="0" applyFill="1" applyBorder="1" applyAlignment="1">
      <alignment horizontal="left" wrapText="1"/>
    </xf>
    <xf numFmtId="0" fontId="0" fillId="4" borderId="20" xfId="0" applyFill="1" applyBorder="1" applyAlignment="1">
      <alignment horizontal="center" wrapText="1"/>
    </xf>
    <xf numFmtId="0" fontId="5" fillId="4" borderId="21" xfId="1" applyFill="1" applyBorder="1" applyAlignment="1">
      <alignment horizontal="center"/>
    </xf>
    <xf numFmtId="0" fontId="5" fillId="4" borderId="22" xfId="1" applyFill="1" applyBorder="1" applyAlignment="1">
      <alignment horizontal="center"/>
    </xf>
    <xf numFmtId="49" fontId="6" fillId="4" borderId="34" xfId="0" applyNumberFormat="1" applyFont="1" applyFill="1" applyBorder="1" applyAlignment="1">
      <alignment horizontal="center"/>
    </xf>
    <xf numFmtId="0" fontId="4" fillId="4" borderId="39" xfId="0" applyFont="1" applyFill="1" applyBorder="1" applyAlignment="1">
      <alignment horizontal="center" wrapText="1"/>
    </xf>
    <xf numFmtId="0" fontId="0" fillId="4" borderId="14" xfId="0" applyFill="1" applyBorder="1" applyAlignment="1">
      <alignment horizontal="left" wrapText="1"/>
    </xf>
    <xf numFmtId="0" fontId="0" fillId="4" borderId="15" xfId="0" applyFill="1" applyBorder="1" applyAlignment="1">
      <alignment horizontal="center" wrapText="1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49" fontId="6" fillId="4" borderId="33" xfId="0" applyNumberFormat="1" applyFont="1" applyFill="1" applyBorder="1" applyAlignment="1">
      <alignment horizontal="center"/>
    </xf>
    <xf numFmtId="0" fontId="8" fillId="4" borderId="7" xfId="0" applyFont="1" applyFill="1" applyBorder="1" applyAlignment="1">
      <alignment horizontal="left" wrapText="1"/>
    </xf>
    <xf numFmtId="0" fontId="0" fillId="4" borderId="38" xfId="0" applyFill="1" applyBorder="1" applyAlignment="1">
      <alignment horizontal="center" wrapText="1"/>
    </xf>
    <xf numFmtId="0" fontId="0" fillId="4" borderId="25" xfId="0" applyFill="1" applyBorder="1" applyAlignment="1">
      <alignment horizontal="center" wrapText="1"/>
    </xf>
    <xf numFmtId="0" fontId="0" fillId="4" borderId="26" xfId="0" applyFill="1" applyBorder="1" applyAlignment="1">
      <alignment horizontal="left" wrapText="1"/>
    </xf>
    <xf numFmtId="0" fontId="0" fillId="4" borderId="27" xfId="0" applyFill="1" applyBorder="1" applyAlignment="1">
      <alignment horizontal="center" wrapText="1"/>
    </xf>
    <xf numFmtId="0" fontId="5" fillId="4" borderId="28" xfId="1" applyFill="1" applyBorder="1" applyAlignment="1">
      <alignment horizontal="center"/>
    </xf>
    <xf numFmtId="0" fontId="5" fillId="4" borderId="29" xfId="1" applyFill="1" applyBorder="1" applyAlignment="1">
      <alignment horizontal="center"/>
    </xf>
    <xf numFmtId="49" fontId="6" fillId="4" borderId="32" xfId="0" applyNumberFormat="1" applyFont="1" applyFill="1" applyBorder="1" applyAlignment="1">
      <alignment horizontal="center"/>
    </xf>
    <xf numFmtId="0" fontId="4" fillId="4" borderId="7" xfId="0" applyFont="1" applyFill="1" applyBorder="1" applyAlignment="1">
      <alignment horizontal="left" wrapText="1"/>
    </xf>
    <xf numFmtId="0" fontId="4" fillId="3" borderId="17" xfId="0" applyFont="1" applyFill="1" applyBorder="1" applyAlignment="1">
      <alignment horizontal="center"/>
    </xf>
    <xf numFmtId="0" fontId="4" fillId="0" borderId="0" xfId="2">
      <alignment vertical="center"/>
    </xf>
    <xf numFmtId="0" fontId="10" fillId="0" borderId="0" xfId="2" applyFont="1" applyAlignment="1">
      <alignment horizontal="right" vertical="center"/>
    </xf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2" fillId="5" borderId="1" xfId="2" applyFont="1" applyFill="1" applyBorder="1" applyAlignment="1">
      <alignment horizontal="center" vertical="center"/>
    </xf>
    <xf numFmtId="0" fontId="13" fillId="0" borderId="0" xfId="2" applyFont="1" applyAlignment="1">
      <alignment horizontal="right" vertical="center"/>
    </xf>
    <xf numFmtId="0" fontId="12" fillId="0" borderId="0" xfId="2" applyFont="1" applyAlignment="1">
      <alignment horizontal="right" vertical="center"/>
    </xf>
    <xf numFmtId="0" fontId="12" fillId="0" borderId="0" xfId="2" applyFont="1">
      <alignment vertical="center"/>
    </xf>
    <xf numFmtId="0" fontId="12" fillId="6" borderId="1" xfId="2" applyFont="1" applyFill="1" applyBorder="1" applyAlignment="1">
      <alignment horizontal="center" vertical="center"/>
    </xf>
    <xf numFmtId="0" fontId="12" fillId="0" borderId="32" xfId="2" applyFont="1" applyBorder="1" applyAlignment="1" applyProtection="1">
      <alignment horizontal="center" vertical="center" wrapText="1"/>
      <protection locked="0"/>
    </xf>
    <xf numFmtId="164" fontId="12" fillId="0" borderId="0" xfId="2" applyNumberFormat="1" applyFont="1" applyAlignment="1">
      <alignment horizontal="right"/>
    </xf>
    <xf numFmtId="0" fontId="12" fillId="0" borderId="41" xfId="2" applyFont="1" applyBorder="1" applyAlignment="1" applyProtection="1">
      <alignment horizontal="center" vertical="center" wrapText="1"/>
      <protection locked="0"/>
    </xf>
    <xf numFmtId="0" fontId="12" fillId="0" borderId="42" xfId="2" applyFont="1" applyBorder="1" applyAlignment="1" applyProtection="1">
      <alignment horizontal="center" vertical="center" wrapText="1"/>
      <protection locked="0"/>
    </xf>
    <xf numFmtId="0" fontId="12" fillId="0" borderId="1" xfId="2" applyFont="1" applyBorder="1" applyAlignment="1" applyProtection="1">
      <alignment horizontal="center" vertical="center" wrapText="1"/>
      <protection locked="0"/>
    </xf>
    <xf numFmtId="164" fontId="12" fillId="0" borderId="0" xfId="2" applyNumberFormat="1" applyFont="1">
      <alignment vertical="center"/>
    </xf>
    <xf numFmtId="0" fontId="12" fillId="0" borderId="0" xfId="2" applyFont="1" applyAlignment="1">
      <alignment horizontal="right" vertical="top"/>
    </xf>
    <xf numFmtId="0" fontId="12" fillId="0" borderId="0" xfId="2" applyFont="1" applyBorder="1" applyAlignment="1">
      <alignment vertical="center" wrapText="1"/>
    </xf>
    <xf numFmtId="0" fontId="12" fillId="0" borderId="0" xfId="2" applyFont="1" applyBorder="1">
      <alignment vertical="center"/>
    </xf>
    <xf numFmtId="164" fontId="12" fillId="0" borderId="0" xfId="2" applyNumberFormat="1" applyFont="1" applyAlignment="1">
      <alignment horizontal="right" vertical="center"/>
    </xf>
    <xf numFmtId="0" fontId="12" fillId="0" borderId="0" xfId="2" applyFont="1" applyAlignment="1">
      <alignment vertical="top"/>
    </xf>
    <xf numFmtId="0" fontId="12" fillId="6" borderId="1" xfId="2" applyFont="1" applyFill="1" applyBorder="1" applyAlignment="1">
      <alignment horizontal="center" vertical="center" wrapText="1"/>
    </xf>
    <xf numFmtId="0" fontId="16" fillId="0" borderId="0" xfId="2" applyFont="1">
      <alignment vertical="center"/>
    </xf>
    <xf numFmtId="0" fontId="13" fillId="0" borderId="0" xfId="2" applyFont="1" applyAlignment="1">
      <alignment horizontal="right" vertical="center" wrapText="1"/>
    </xf>
    <xf numFmtId="0" fontId="17" fillId="0" borderId="0" xfId="2" applyFont="1" applyAlignment="1">
      <alignment vertical="center" wrapText="1"/>
    </xf>
    <xf numFmtId="0" fontId="17" fillId="0" borderId="0" xfId="2" applyFont="1">
      <alignment vertical="center"/>
    </xf>
    <xf numFmtId="49" fontId="12" fillId="0" borderId="43" xfId="2" applyNumberFormat="1" applyFont="1" applyBorder="1" applyAlignment="1">
      <alignment horizontal="center" vertical="center" wrapText="1"/>
    </xf>
    <xf numFmtId="0" fontId="12" fillId="0" borderId="0" xfId="2" applyFont="1" applyFill="1" applyBorder="1" applyAlignment="1">
      <alignment horizontal="center" vertical="center"/>
    </xf>
    <xf numFmtId="0" fontId="12" fillId="7" borderId="33" xfId="2" applyFont="1" applyFill="1" applyBorder="1" applyAlignment="1">
      <alignment horizontal="center" vertical="center"/>
    </xf>
    <xf numFmtId="0" fontId="12" fillId="0" borderId="0" xfId="2" applyFont="1" applyBorder="1" applyAlignment="1">
      <alignment horizontal="center" vertical="center" wrapText="1"/>
    </xf>
    <xf numFmtId="0" fontId="12" fillId="0" borderId="31" xfId="2" applyFont="1" applyBorder="1" applyAlignment="1" applyProtection="1">
      <alignment horizontal="center" vertical="center" wrapText="1"/>
      <protection locked="0"/>
    </xf>
    <xf numFmtId="0" fontId="12" fillId="0" borderId="30" xfId="2" applyFont="1" applyBorder="1" applyAlignment="1" applyProtection="1">
      <alignment horizontal="center" vertical="center" wrapText="1"/>
      <protection locked="0"/>
    </xf>
    <xf numFmtId="0" fontId="14" fillId="0" borderId="0" xfId="2" applyFont="1" applyAlignment="1">
      <alignment horizontal="center" vertical="center"/>
    </xf>
    <xf numFmtId="0" fontId="18" fillId="0" borderId="0" xfId="2" applyFont="1" applyAlignment="1">
      <alignment horizontal="center"/>
    </xf>
    <xf numFmtId="49" fontId="19" fillId="0" borderId="43" xfId="2" applyNumberFormat="1" applyFont="1" applyBorder="1" applyProtection="1">
      <alignment vertical="center"/>
      <protection locked="0"/>
    </xf>
    <xf numFmtId="49" fontId="12" fillId="0" borderId="0" xfId="2" applyNumberFormat="1" applyFont="1" applyAlignment="1">
      <alignment horizontal="right" vertical="center"/>
    </xf>
    <xf numFmtId="0" fontId="12" fillId="0" borderId="0" xfId="2" applyFont="1" applyAlignment="1">
      <alignment horizontal="distributed" vertical="center"/>
    </xf>
    <xf numFmtId="0" fontId="12" fillId="0" borderId="43" xfId="2" applyFont="1" applyBorder="1" applyAlignment="1" applyProtection="1">
      <alignment horizontal="center" vertical="center"/>
      <protection locked="0"/>
    </xf>
    <xf numFmtId="0" fontId="12" fillId="0" borderId="43" xfId="2" applyFont="1" applyBorder="1" applyProtection="1">
      <alignment vertical="center"/>
      <protection locked="0"/>
    </xf>
    <xf numFmtId="0" fontId="4" fillId="0" borderId="0" xfId="0" applyFont="1"/>
    <xf numFmtId="0" fontId="1" fillId="0" borderId="0" xfId="0" applyFont="1"/>
    <xf numFmtId="0" fontId="12" fillId="0" borderId="0" xfId="2" applyFont="1">
      <alignment vertical="center"/>
    </xf>
    <xf numFmtId="0" fontId="15" fillId="0" borderId="0" xfId="2" applyFont="1" applyAlignment="1">
      <alignment horizontal="left" vertical="center"/>
    </xf>
    <xf numFmtId="0" fontId="12" fillId="0" borderId="0" xfId="2" applyFont="1" applyAlignment="1"/>
    <xf numFmtId="0" fontId="12" fillId="0" borderId="40" xfId="2" applyFont="1" applyBorder="1">
      <alignment vertical="center"/>
    </xf>
    <xf numFmtId="0" fontId="14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wrapText="1"/>
    </xf>
    <xf numFmtId="0" fontId="21" fillId="0" borderId="0" xfId="2" applyFont="1" applyAlignment="1">
      <alignment horizontal="center" vertical="center"/>
    </xf>
    <xf numFmtId="0" fontId="18" fillId="0" borderId="0" xfId="2" applyFont="1" applyAlignment="1">
      <alignment horizontal="center"/>
    </xf>
    <xf numFmtId="0" fontId="12" fillId="0" borderId="40" xfId="2" applyFont="1" applyBorder="1" applyAlignment="1" applyProtection="1">
      <alignment horizontal="center" vertical="center"/>
      <protection locked="0"/>
    </xf>
    <xf numFmtId="0" fontId="12" fillId="0" borderId="43" xfId="2" applyFont="1" applyBorder="1" applyAlignment="1" applyProtection="1">
      <alignment horizontal="center" vertical="center"/>
      <protection locked="0"/>
    </xf>
    <xf numFmtId="0" fontId="20" fillId="0" borderId="0" xfId="2" applyFont="1" applyAlignment="1">
      <alignment horizontal="center" vertical="center"/>
    </xf>
    <xf numFmtId="0" fontId="13" fillId="0" borderId="40" xfId="2" applyFont="1" applyBorder="1" applyAlignment="1" applyProtection="1">
      <alignment horizontal="center" vertical="center"/>
      <protection locked="0"/>
    </xf>
    <xf numFmtId="0" fontId="0" fillId="3" borderId="8" xfId="0" applyFill="1" applyBorder="1" applyAlignment="1">
      <alignment horizontal="left" wrapText="1"/>
    </xf>
    <xf numFmtId="0" fontId="0" fillId="3" borderId="11" xfId="0" applyFill="1" applyBorder="1" applyAlignment="1">
      <alignment horizontal="left" wrapText="1"/>
    </xf>
    <xf numFmtId="0" fontId="0" fillId="3" borderId="24" xfId="0" applyFill="1" applyBorder="1" applyAlignment="1">
      <alignment horizontal="left" wrapText="1"/>
    </xf>
    <xf numFmtId="0" fontId="0" fillId="3" borderId="27" xfId="0" applyFill="1" applyBorder="1" applyAlignment="1">
      <alignment horizontal="left" wrapText="1"/>
    </xf>
    <xf numFmtId="0" fontId="0" fillId="3" borderId="15" xfId="0" applyFill="1" applyBorder="1" applyAlignment="1">
      <alignment horizontal="left" wrapText="1"/>
    </xf>
    <xf numFmtId="0" fontId="8" fillId="3" borderId="8" xfId="0" applyFont="1" applyFill="1" applyBorder="1" applyAlignment="1">
      <alignment horizontal="left" wrapText="1"/>
    </xf>
    <xf numFmtId="0" fontId="0" fillId="3" borderId="20" xfId="0" applyFill="1" applyBorder="1" applyAlignment="1">
      <alignment horizontal="left" wrapText="1"/>
    </xf>
    <xf numFmtId="0" fontId="0" fillId="4" borderId="8" xfId="0" applyFill="1" applyBorder="1" applyAlignment="1">
      <alignment horizontal="left" wrapText="1"/>
    </xf>
    <xf numFmtId="0" fontId="8" fillId="4" borderId="11" xfId="0" applyFont="1" applyFill="1" applyBorder="1" applyAlignment="1">
      <alignment horizontal="left" wrapText="1"/>
    </xf>
    <xf numFmtId="0" fontId="0" fillId="4" borderId="24" xfId="0" applyFill="1" applyBorder="1" applyAlignment="1">
      <alignment horizontal="left" wrapText="1"/>
    </xf>
    <xf numFmtId="0" fontId="0" fillId="4" borderId="20" xfId="0" applyFill="1" applyBorder="1" applyAlignment="1">
      <alignment horizontal="left" wrapText="1"/>
    </xf>
    <xf numFmtId="0" fontId="0" fillId="4" borderId="11" xfId="0" applyFill="1" applyBorder="1" applyAlignment="1">
      <alignment horizontal="left" wrapText="1"/>
    </xf>
    <xf numFmtId="0" fontId="0" fillId="4" borderId="15" xfId="0" applyFill="1" applyBorder="1" applyAlignment="1">
      <alignment horizontal="left" wrapText="1"/>
    </xf>
    <xf numFmtId="0" fontId="8" fillId="4" borderId="8" xfId="0" applyFont="1" applyFill="1" applyBorder="1" applyAlignment="1">
      <alignment horizontal="left" wrapText="1"/>
    </xf>
    <xf numFmtId="0" fontId="0" fillId="4" borderId="27" xfId="0" applyFill="1" applyBorder="1" applyAlignment="1">
      <alignment horizontal="left" wrapText="1"/>
    </xf>
    <xf numFmtId="0" fontId="1" fillId="2" borderId="1" xfId="0" applyFont="1" applyFill="1" applyBorder="1" applyAlignment="1">
      <alignment horizontal="center" wrapText="1"/>
    </xf>
    <xf numFmtId="0" fontId="23" fillId="0" borderId="0" xfId="0" applyFont="1"/>
    <xf numFmtId="0" fontId="24" fillId="0" borderId="0" xfId="0" applyFont="1"/>
    <xf numFmtId="0" fontId="25" fillId="0" borderId="0" xfId="0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0</xdr:row>
          <xdr:rowOff>76200</xdr:rowOff>
        </xdr:from>
        <xdr:to>
          <xdr:col>5</xdr:col>
          <xdr:colOff>1485900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dwardma@vtc.edu.hk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mailto:spkwong@vtc.edu.hk" TargetMode="External"/><Relationship Id="rId7" Type="http://schemas.openxmlformats.org/officeDocument/2006/relationships/hyperlink" Target="mailto:wongyf@vtc.edu.hk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cywong@vtc.edu.hk" TargetMode="External"/><Relationship Id="rId1" Type="http://schemas.openxmlformats.org/officeDocument/2006/relationships/hyperlink" Target="mailto:cywong@vtc.edu.hk" TargetMode="External"/><Relationship Id="rId6" Type="http://schemas.openxmlformats.org/officeDocument/2006/relationships/hyperlink" Target="mailto:cywong@vtc.edu.hk" TargetMode="External"/><Relationship Id="rId11" Type="http://schemas.openxmlformats.org/officeDocument/2006/relationships/hyperlink" Target="mailto:spkwong@vtc.edu.hk" TargetMode="External"/><Relationship Id="rId5" Type="http://schemas.openxmlformats.org/officeDocument/2006/relationships/hyperlink" Target="mailto:cywong@vtc.edu.hk" TargetMode="External"/><Relationship Id="rId15" Type="http://schemas.openxmlformats.org/officeDocument/2006/relationships/ctrlProp" Target="../ctrlProps/ctrlProp1.xml"/><Relationship Id="rId10" Type="http://schemas.openxmlformats.org/officeDocument/2006/relationships/hyperlink" Target="mailto:hylee617@vtc.edu.hk" TargetMode="External"/><Relationship Id="rId4" Type="http://schemas.openxmlformats.org/officeDocument/2006/relationships/hyperlink" Target="mailto:adayuen@vtc.edu.hk" TargetMode="External"/><Relationship Id="rId9" Type="http://schemas.openxmlformats.org/officeDocument/2006/relationships/hyperlink" Target="mailto:wongyf@vtc.edu.hk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47"/>
  <sheetViews>
    <sheetView zoomScaleNormal="100" workbookViewId="0">
      <selection activeCell="D3" sqref="D3"/>
    </sheetView>
  </sheetViews>
  <sheetFormatPr defaultRowHeight="12.75"/>
  <cols>
    <col min="1" max="1" width="9.42578125" bestFit="1" customWidth="1"/>
    <col min="2" max="2" width="19.85546875" customWidth="1"/>
    <col min="3" max="4" width="9.85546875" customWidth="1"/>
    <col min="5" max="5" width="10.28515625" style="1" customWidth="1"/>
    <col min="6" max="6" width="23.7109375" style="1" customWidth="1"/>
    <col min="7" max="7" width="14" style="1" customWidth="1"/>
    <col min="8" max="8" width="45" customWidth="1"/>
    <col min="9" max="9" width="32.42578125" customWidth="1"/>
    <col min="10" max="10" width="8.85546875" style="40" customWidth="1"/>
  </cols>
  <sheetData>
    <row r="1" spans="1:10">
      <c r="A1" s="130" t="s">
        <v>184</v>
      </c>
      <c r="B1" t="s">
        <v>185</v>
      </c>
      <c r="E1" s="39"/>
    </row>
    <row r="2" spans="1:10" ht="33.75" thickBot="1">
      <c r="A2" s="162" t="s">
        <v>187</v>
      </c>
      <c r="B2" s="161"/>
      <c r="C2" s="163">
        <v>11</v>
      </c>
      <c r="D2" s="129" t="s">
        <v>188</v>
      </c>
    </row>
    <row r="3" spans="1:10" ht="57" customHeight="1" thickBot="1">
      <c r="A3" s="3" t="s">
        <v>0</v>
      </c>
      <c r="B3" s="4" t="s">
        <v>1</v>
      </c>
      <c r="C3" s="4" t="s">
        <v>2</v>
      </c>
      <c r="D3" s="5" t="s">
        <v>186</v>
      </c>
      <c r="E3" s="5" t="s">
        <v>81</v>
      </c>
      <c r="F3" s="6" t="s">
        <v>93</v>
      </c>
      <c r="G3" s="7" t="s">
        <v>113</v>
      </c>
      <c r="H3" s="2" t="s">
        <v>117</v>
      </c>
      <c r="I3" s="160" t="s">
        <v>183</v>
      </c>
    </row>
    <row r="4" spans="1:10" ht="12.6" customHeight="1">
      <c r="A4" s="43" t="s">
        <v>118</v>
      </c>
      <c r="B4" s="8" t="s">
        <v>11</v>
      </c>
      <c r="C4" s="8" t="s">
        <v>12</v>
      </c>
      <c r="D4" s="145"/>
      <c r="E4" s="9" t="s">
        <v>82</v>
      </c>
      <c r="F4" s="10" t="s">
        <v>94</v>
      </c>
      <c r="G4" s="38" t="s">
        <v>99</v>
      </c>
      <c r="H4" s="33" t="s">
        <v>114</v>
      </c>
      <c r="I4" s="33"/>
      <c r="J4" s="41"/>
    </row>
    <row r="5" spans="1:10" ht="12.6" customHeight="1">
      <c r="A5" s="44" t="s">
        <v>118</v>
      </c>
      <c r="B5" s="11" t="s">
        <v>15</v>
      </c>
      <c r="C5" s="11" t="s">
        <v>16</v>
      </c>
      <c r="D5" s="146"/>
      <c r="E5" s="12" t="s">
        <v>82</v>
      </c>
      <c r="F5" s="13" t="s">
        <v>95</v>
      </c>
      <c r="G5" s="14"/>
      <c r="H5" s="34" t="s">
        <v>131</v>
      </c>
      <c r="I5" s="34"/>
    </row>
    <row r="6" spans="1:10" ht="12.6" customHeight="1">
      <c r="A6" s="45" t="s">
        <v>118</v>
      </c>
      <c r="B6" s="26" t="s">
        <v>49</v>
      </c>
      <c r="C6" s="26" t="s">
        <v>50</v>
      </c>
      <c r="D6" s="147"/>
      <c r="E6" s="27" t="s">
        <v>82</v>
      </c>
      <c r="F6" s="17" t="s">
        <v>96</v>
      </c>
      <c r="G6" s="18"/>
      <c r="H6" s="34" t="s">
        <v>137</v>
      </c>
      <c r="I6" s="34"/>
    </row>
    <row r="7" spans="1:10" ht="12.6" customHeight="1" thickBot="1">
      <c r="A7" s="28"/>
      <c r="B7" s="29"/>
      <c r="C7" s="29"/>
      <c r="D7" s="148"/>
      <c r="E7" s="30"/>
      <c r="F7" s="31"/>
      <c r="G7" s="32"/>
      <c r="H7" s="35" t="s">
        <v>136</v>
      </c>
      <c r="I7" s="35"/>
    </row>
    <row r="8" spans="1:10" ht="12.6" customHeight="1">
      <c r="A8" s="43" t="s">
        <v>118</v>
      </c>
      <c r="B8" s="8" t="s">
        <v>17</v>
      </c>
      <c r="C8" s="8" t="s">
        <v>18</v>
      </c>
      <c r="D8" s="145"/>
      <c r="E8" s="9" t="s">
        <v>83</v>
      </c>
      <c r="F8" s="10" t="s">
        <v>99</v>
      </c>
      <c r="G8" s="38" t="s">
        <v>94</v>
      </c>
      <c r="H8" s="33" t="s">
        <v>114</v>
      </c>
      <c r="I8" s="33"/>
    </row>
    <row r="9" spans="1:10" ht="12.6" customHeight="1">
      <c r="A9" s="44" t="s">
        <v>118</v>
      </c>
      <c r="B9" s="11" t="s">
        <v>23</v>
      </c>
      <c r="C9" s="11" t="s">
        <v>24</v>
      </c>
      <c r="D9" s="146"/>
      <c r="E9" s="12" t="s">
        <v>83</v>
      </c>
      <c r="F9" s="13" t="s">
        <v>97</v>
      </c>
      <c r="G9" s="14"/>
      <c r="H9" s="34" t="s">
        <v>126</v>
      </c>
      <c r="I9" s="34"/>
    </row>
    <row r="10" spans="1:10" ht="12.6" customHeight="1">
      <c r="A10" s="44" t="s">
        <v>118</v>
      </c>
      <c r="B10" s="11" t="s">
        <v>31</v>
      </c>
      <c r="C10" s="11" t="s">
        <v>32</v>
      </c>
      <c r="D10" s="146"/>
      <c r="E10" s="12" t="s">
        <v>83</v>
      </c>
      <c r="F10" s="17" t="s">
        <v>98</v>
      </c>
      <c r="G10" s="18"/>
      <c r="H10" s="34" t="s">
        <v>137</v>
      </c>
      <c r="I10" s="34"/>
    </row>
    <row r="11" spans="1:10" ht="12.6" customHeight="1" thickBot="1">
      <c r="A11" s="47" t="s">
        <v>118</v>
      </c>
      <c r="B11" s="15" t="s">
        <v>63</v>
      </c>
      <c r="C11" s="15" t="s">
        <v>64</v>
      </c>
      <c r="D11" s="149"/>
      <c r="E11" s="16" t="s">
        <v>83</v>
      </c>
      <c r="F11" s="19"/>
      <c r="G11" s="90"/>
      <c r="H11" s="36" t="s">
        <v>127</v>
      </c>
      <c r="I11" s="36"/>
    </row>
    <row r="12" spans="1:10" ht="12.6" customHeight="1">
      <c r="A12" s="43" t="s">
        <v>122</v>
      </c>
      <c r="B12" s="8" t="s">
        <v>25</v>
      </c>
      <c r="C12" s="42" t="s">
        <v>26</v>
      </c>
      <c r="D12" s="150"/>
      <c r="E12" s="9" t="s">
        <v>84</v>
      </c>
      <c r="F12" s="10" t="s">
        <v>100</v>
      </c>
      <c r="G12" s="38" t="s">
        <v>104</v>
      </c>
      <c r="H12" s="33" t="s">
        <v>114</v>
      </c>
      <c r="I12" s="33"/>
      <c r="J12" s="41"/>
    </row>
    <row r="13" spans="1:10" ht="12.6" customHeight="1">
      <c r="A13" s="44" t="s">
        <v>118</v>
      </c>
      <c r="B13" s="11" t="s">
        <v>29</v>
      </c>
      <c r="C13" s="11" t="s">
        <v>30</v>
      </c>
      <c r="D13" s="146"/>
      <c r="E13" s="12" t="s">
        <v>84</v>
      </c>
      <c r="F13" s="13" t="s">
        <v>101</v>
      </c>
      <c r="G13" s="14"/>
      <c r="H13" s="34" t="s">
        <v>115</v>
      </c>
      <c r="I13" s="34"/>
    </row>
    <row r="14" spans="1:10" ht="12.6" customHeight="1">
      <c r="A14" s="44" t="s">
        <v>118</v>
      </c>
      <c r="B14" s="11" t="s">
        <v>35</v>
      </c>
      <c r="C14" s="11" t="s">
        <v>36</v>
      </c>
      <c r="D14" s="146"/>
      <c r="E14" s="12" t="s">
        <v>84</v>
      </c>
      <c r="F14" s="17" t="s">
        <v>102</v>
      </c>
      <c r="G14" s="18"/>
      <c r="H14" s="34" t="s">
        <v>137</v>
      </c>
      <c r="I14" s="34"/>
    </row>
    <row r="15" spans="1:10" ht="12.6" customHeight="1" thickBot="1">
      <c r="A15" s="47" t="s">
        <v>118</v>
      </c>
      <c r="B15" s="15" t="s">
        <v>69</v>
      </c>
      <c r="C15" s="15" t="s">
        <v>70</v>
      </c>
      <c r="D15" s="149"/>
      <c r="E15" s="16" t="s">
        <v>84</v>
      </c>
      <c r="F15" s="19"/>
      <c r="G15" s="20"/>
      <c r="H15" s="36" t="s">
        <v>119</v>
      </c>
      <c r="I15" s="36"/>
    </row>
    <row r="16" spans="1:10" ht="12.6" customHeight="1">
      <c r="A16" s="43" t="s">
        <v>118</v>
      </c>
      <c r="B16" s="46" t="s">
        <v>43</v>
      </c>
      <c r="C16" s="8" t="s">
        <v>44</v>
      </c>
      <c r="D16" s="145"/>
      <c r="E16" s="9" t="s">
        <v>85</v>
      </c>
      <c r="F16" s="10" t="s">
        <v>104</v>
      </c>
      <c r="G16" s="38" t="s">
        <v>99</v>
      </c>
      <c r="H16" s="33" t="s">
        <v>114</v>
      </c>
      <c r="I16" s="33"/>
      <c r="J16" s="41"/>
    </row>
    <row r="17" spans="1:10" ht="12.6" customHeight="1">
      <c r="A17" s="44" t="s">
        <v>118</v>
      </c>
      <c r="B17" s="48" t="s">
        <v>51</v>
      </c>
      <c r="C17" s="11" t="s">
        <v>52</v>
      </c>
      <c r="D17" s="146"/>
      <c r="E17" s="12" t="s">
        <v>85</v>
      </c>
      <c r="F17" s="13" t="s">
        <v>105</v>
      </c>
      <c r="G17" s="14"/>
      <c r="H17" s="34" t="s">
        <v>123</v>
      </c>
      <c r="I17" s="34"/>
    </row>
    <row r="18" spans="1:10" ht="12.6" customHeight="1">
      <c r="A18" s="44" t="s">
        <v>118</v>
      </c>
      <c r="B18" s="48" t="s">
        <v>65</v>
      </c>
      <c r="C18" s="11" t="s">
        <v>66</v>
      </c>
      <c r="D18" s="146"/>
      <c r="E18" s="12" t="s">
        <v>85</v>
      </c>
      <c r="F18" s="17" t="s">
        <v>106</v>
      </c>
      <c r="G18" s="18"/>
      <c r="H18" s="34" t="s">
        <v>137</v>
      </c>
      <c r="I18" s="34"/>
    </row>
    <row r="19" spans="1:10" ht="12.6" customHeight="1" thickBot="1">
      <c r="A19" s="47" t="s">
        <v>118</v>
      </c>
      <c r="B19" s="49" t="s">
        <v>71</v>
      </c>
      <c r="C19" s="15" t="s">
        <v>72</v>
      </c>
      <c r="D19" s="149"/>
      <c r="E19" s="16" t="s">
        <v>85</v>
      </c>
      <c r="F19" s="19"/>
      <c r="G19" s="20"/>
      <c r="H19" s="36" t="s">
        <v>121</v>
      </c>
      <c r="I19" s="36"/>
    </row>
    <row r="20" spans="1:10" ht="12.6" customHeight="1">
      <c r="A20" s="43" t="s">
        <v>118</v>
      </c>
      <c r="B20" s="8" t="s">
        <v>53</v>
      </c>
      <c r="C20" s="8" t="s">
        <v>54</v>
      </c>
      <c r="D20" s="145"/>
      <c r="E20" s="9" t="s">
        <v>86</v>
      </c>
      <c r="F20" s="10" t="s">
        <v>100</v>
      </c>
      <c r="G20" s="38" t="s">
        <v>104</v>
      </c>
      <c r="H20" s="33" t="s">
        <v>114</v>
      </c>
      <c r="I20" s="33"/>
      <c r="J20" s="41"/>
    </row>
    <row r="21" spans="1:10" ht="12.6" customHeight="1">
      <c r="A21" s="44" t="s">
        <v>118</v>
      </c>
      <c r="B21" s="11" t="s">
        <v>59</v>
      </c>
      <c r="C21" s="11" t="s">
        <v>60</v>
      </c>
      <c r="D21" s="146"/>
      <c r="E21" s="12" t="s">
        <v>86</v>
      </c>
      <c r="F21" s="13" t="s">
        <v>101</v>
      </c>
      <c r="G21" s="14"/>
      <c r="H21" s="34" t="s">
        <v>116</v>
      </c>
      <c r="I21" s="34"/>
    </row>
    <row r="22" spans="1:10" ht="12.6" customHeight="1">
      <c r="A22" s="45" t="s">
        <v>118</v>
      </c>
      <c r="B22" s="26" t="s">
        <v>79</v>
      </c>
      <c r="C22" s="26" t="s">
        <v>80</v>
      </c>
      <c r="D22" s="147"/>
      <c r="E22" s="27" t="s">
        <v>86</v>
      </c>
      <c r="F22" s="17" t="s">
        <v>103</v>
      </c>
      <c r="G22" s="18"/>
      <c r="H22" s="34" t="s">
        <v>137</v>
      </c>
      <c r="I22" s="34"/>
    </row>
    <row r="23" spans="1:10" ht="12.6" customHeight="1" thickBot="1">
      <c r="A23" s="21"/>
      <c r="B23" s="22"/>
      <c r="C23" s="22"/>
      <c r="D23" s="151"/>
      <c r="E23" s="23"/>
      <c r="F23" s="24"/>
      <c r="G23" s="25"/>
      <c r="H23" s="37" t="s">
        <v>120</v>
      </c>
      <c r="I23" s="37"/>
    </row>
    <row r="24" spans="1:10" ht="12.6" customHeight="1">
      <c r="A24" s="50" t="s">
        <v>118</v>
      </c>
      <c r="B24" s="51" t="s">
        <v>5</v>
      </c>
      <c r="C24" s="52" t="s">
        <v>6</v>
      </c>
      <c r="D24" s="152"/>
      <c r="E24" s="53" t="s">
        <v>91</v>
      </c>
      <c r="F24" s="54" t="s">
        <v>99</v>
      </c>
      <c r="G24" s="55" t="s">
        <v>110</v>
      </c>
      <c r="H24" s="56" t="s">
        <v>124</v>
      </c>
      <c r="I24" s="56"/>
      <c r="J24" s="41"/>
    </row>
    <row r="25" spans="1:10" ht="12.6" customHeight="1">
      <c r="A25" s="57" t="s">
        <v>122</v>
      </c>
      <c r="B25" s="58" t="s">
        <v>45</v>
      </c>
      <c r="C25" s="59" t="s">
        <v>46</v>
      </c>
      <c r="D25" s="153"/>
      <c r="E25" s="60" t="s">
        <v>91</v>
      </c>
      <c r="F25" s="61" t="s">
        <v>97</v>
      </c>
      <c r="G25" s="62"/>
      <c r="H25" s="63" t="s">
        <v>123</v>
      </c>
      <c r="I25" s="63"/>
    </row>
    <row r="26" spans="1:10" ht="12.6" customHeight="1">
      <c r="A26" s="64" t="s">
        <v>118</v>
      </c>
      <c r="B26" s="65" t="s">
        <v>75</v>
      </c>
      <c r="C26" s="65" t="s">
        <v>76</v>
      </c>
      <c r="D26" s="154"/>
      <c r="E26" s="66" t="s">
        <v>91</v>
      </c>
      <c r="F26" s="67" t="s">
        <v>98</v>
      </c>
      <c r="G26" s="68"/>
      <c r="H26" s="63" t="s">
        <v>137</v>
      </c>
      <c r="I26" s="63"/>
    </row>
    <row r="27" spans="1:10" ht="12.6" customHeight="1" thickBot="1">
      <c r="A27" s="69"/>
      <c r="B27" s="70"/>
      <c r="C27" s="70"/>
      <c r="D27" s="155"/>
      <c r="E27" s="71"/>
      <c r="F27" s="72"/>
      <c r="G27" s="73"/>
      <c r="H27" s="74" t="s">
        <v>129</v>
      </c>
      <c r="I27" s="74"/>
    </row>
    <row r="28" spans="1:10" ht="12.6" customHeight="1">
      <c r="A28" s="50" t="s">
        <v>122</v>
      </c>
      <c r="B28" s="52" t="s">
        <v>3</v>
      </c>
      <c r="C28" s="52" t="s">
        <v>4</v>
      </c>
      <c r="D28" s="152"/>
      <c r="E28" s="53" t="s">
        <v>87</v>
      </c>
      <c r="F28" s="54" t="s">
        <v>110</v>
      </c>
      <c r="G28" s="55" t="s">
        <v>99</v>
      </c>
      <c r="H28" s="56" t="s">
        <v>124</v>
      </c>
      <c r="I28" s="56"/>
      <c r="J28" s="41"/>
    </row>
    <row r="29" spans="1:10" ht="12.6" customHeight="1">
      <c r="A29" s="57" t="s">
        <v>122</v>
      </c>
      <c r="B29" s="58" t="s">
        <v>19</v>
      </c>
      <c r="C29" s="58" t="s">
        <v>20</v>
      </c>
      <c r="D29" s="156"/>
      <c r="E29" s="60" t="s">
        <v>87</v>
      </c>
      <c r="F29" s="61" t="s">
        <v>112</v>
      </c>
      <c r="G29" s="62"/>
      <c r="H29" s="63" t="s">
        <v>126</v>
      </c>
      <c r="I29" s="63"/>
    </row>
    <row r="30" spans="1:10" ht="12.6" customHeight="1">
      <c r="A30" s="57" t="s">
        <v>122</v>
      </c>
      <c r="B30" s="58" t="s">
        <v>21</v>
      </c>
      <c r="C30" s="58" t="s">
        <v>22</v>
      </c>
      <c r="D30" s="156"/>
      <c r="E30" s="60" t="s">
        <v>87</v>
      </c>
      <c r="F30" s="67" t="s">
        <v>111</v>
      </c>
      <c r="G30" s="68"/>
      <c r="H30" s="63" t="s">
        <v>137</v>
      </c>
      <c r="I30" s="63"/>
    </row>
    <row r="31" spans="1:10" ht="12.6" customHeight="1" thickBot="1">
      <c r="A31" s="75" t="s">
        <v>122</v>
      </c>
      <c r="B31" s="76" t="s">
        <v>77</v>
      </c>
      <c r="C31" s="76" t="s">
        <v>78</v>
      </c>
      <c r="D31" s="157"/>
      <c r="E31" s="77" t="s">
        <v>87</v>
      </c>
      <c r="F31" s="78"/>
      <c r="G31" s="79"/>
      <c r="H31" s="80" t="s">
        <v>130</v>
      </c>
      <c r="I31" s="80"/>
    </row>
    <row r="32" spans="1:10" ht="12.6" customHeight="1">
      <c r="A32" s="50" t="s">
        <v>122</v>
      </c>
      <c r="B32" s="52" t="s">
        <v>7</v>
      </c>
      <c r="C32" s="52" t="s">
        <v>8</v>
      </c>
      <c r="D32" s="152"/>
      <c r="E32" s="53" t="s">
        <v>88</v>
      </c>
      <c r="F32" s="54" t="s">
        <v>107</v>
      </c>
      <c r="G32" s="55" t="s">
        <v>100</v>
      </c>
      <c r="H32" s="56" t="s">
        <v>124</v>
      </c>
      <c r="I32" s="56"/>
      <c r="J32" s="41"/>
    </row>
    <row r="33" spans="1:10" ht="12.6" customHeight="1">
      <c r="A33" s="57" t="s">
        <v>118</v>
      </c>
      <c r="B33" s="58" t="s">
        <v>27</v>
      </c>
      <c r="C33" s="59" t="s">
        <v>28</v>
      </c>
      <c r="D33" s="153"/>
      <c r="E33" s="60" t="s">
        <v>88</v>
      </c>
      <c r="F33" s="61" t="s">
        <v>108</v>
      </c>
      <c r="G33" s="62"/>
      <c r="H33" s="63" t="s">
        <v>115</v>
      </c>
      <c r="I33" s="63"/>
    </row>
    <row r="34" spans="1:10" ht="12.6" customHeight="1">
      <c r="A34" s="57" t="s">
        <v>122</v>
      </c>
      <c r="B34" s="58" t="s">
        <v>41</v>
      </c>
      <c r="C34" s="58" t="s">
        <v>42</v>
      </c>
      <c r="D34" s="156"/>
      <c r="E34" s="60" t="s">
        <v>88</v>
      </c>
      <c r="F34" s="67" t="s">
        <v>109</v>
      </c>
      <c r="G34" s="68"/>
      <c r="H34" s="63" t="s">
        <v>137</v>
      </c>
      <c r="I34" s="63"/>
    </row>
    <row r="35" spans="1:10" ht="12.6" customHeight="1" thickBot="1">
      <c r="A35" s="75" t="s">
        <v>122</v>
      </c>
      <c r="B35" s="76" t="s">
        <v>55</v>
      </c>
      <c r="C35" s="76" t="s">
        <v>56</v>
      </c>
      <c r="D35" s="157"/>
      <c r="E35" s="77" t="s">
        <v>88</v>
      </c>
      <c r="F35" s="78"/>
      <c r="G35" s="79"/>
      <c r="H35" s="80" t="s">
        <v>125</v>
      </c>
      <c r="I35" s="80"/>
    </row>
    <row r="36" spans="1:10" ht="12.6" customHeight="1">
      <c r="A36" s="50" t="s">
        <v>122</v>
      </c>
      <c r="B36" s="52" t="s">
        <v>37</v>
      </c>
      <c r="C36" s="52" t="s">
        <v>38</v>
      </c>
      <c r="D36" s="152"/>
      <c r="E36" s="53" t="s">
        <v>90</v>
      </c>
      <c r="F36" s="54" t="s">
        <v>100</v>
      </c>
      <c r="G36" s="55" t="s">
        <v>107</v>
      </c>
      <c r="H36" s="56" t="s">
        <v>124</v>
      </c>
      <c r="I36" s="56"/>
      <c r="J36" s="41"/>
    </row>
    <row r="37" spans="1:10" ht="12.6" customHeight="1">
      <c r="A37" s="57" t="s">
        <v>122</v>
      </c>
      <c r="B37" s="58" t="s">
        <v>47</v>
      </c>
      <c r="C37" s="58" t="s">
        <v>48</v>
      </c>
      <c r="D37" s="156"/>
      <c r="E37" s="60" t="s">
        <v>90</v>
      </c>
      <c r="F37" s="61" t="s">
        <v>101</v>
      </c>
      <c r="G37" s="62"/>
      <c r="H37" s="63" t="s">
        <v>133</v>
      </c>
      <c r="I37" s="63"/>
    </row>
    <row r="38" spans="1:10" ht="12.6" customHeight="1">
      <c r="A38" s="57" t="s">
        <v>122</v>
      </c>
      <c r="B38" s="58" t="s">
        <v>61</v>
      </c>
      <c r="C38" s="58" t="s">
        <v>62</v>
      </c>
      <c r="D38" s="156"/>
      <c r="E38" s="60" t="s">
        <v>90</v>
      </c>
      <c r="F38" s="67" t="s">
        <v>102</v>
      </c>
      <c r="G38" s="68"/>
      <c r="H38" s="63" t="s">
        <v>137</v>
      </c>
      <c r="I38" s="63"/>
    </row>
    <row r="39" spans="1:10" ht="12.6" customHeight="1" thickBot="1">
      <c r="A39" s="75" t="s">
        <v>122</v>
      </c>
      <c r="B39" s="76" t="s">
        <v>73</v>
      </c>
      <c r="C39" s="76" t="s">
        <v>74</v>
      </c>
      <c r="D39" s="157"/>
      <c r="E39" s="77" t="s">
        <v>90</v>
      </c>
      <c r="F39" s="78"/>
      <c r="G39" s="79"/>
      <c r="H39" s="80" t="s">
        <v>132</v>
      </c>
      <c r="I39" s="80"/>
    </row>
    <row r="40" spans="1:10" ht="12.6" customHeight="1">
      <c r="A40" s="50" t="s">
        <v>118</v>
      </c>
      <c r="B40" s="52" t="s">
        <v>39</v>
      </c>
      <c r="C40" s="81" t="s">
        <v>40</v>
      </c>
      <c r="D40" s="158"/>
      <c r="E40" s="53" t="s">
        <v>92</v>
      </c>
      <c r="F40" s="54" t="s">
        <v>107</v>
      </c>
      <c r="G40" s="55" t="s">
        <v>100</v>
      </c>
      <c r="H40" s="56" t="s">
        <v>124</v>
      </c>
      <c r="I40" s="56"/>
      <c r="J40" s="41"/>
    </row>
    <row r="41" spans="1:10" ht="12.6" customHeight="1">
      <c r="A41" s="57" t="s">
        <v>122</v>
      </c>
      <c r="B41" s="58" t="s">
        <v>67</v>
      </c>
      <c r="C41" s="58" t="s">
        <v>68</v>
      </c>
      <c r="D41" s="156"/>
      <c r="E41" s="60" t="s">
        <v>92</v>
      </c>
      <c r="F41" s="61" t="s">
        <v>108</v>
      </c>
      <c r="G41" s="62"/>
      <c r="H41" s="63" t="s">
        <v>116</v>
      </c>
      <c r="I41" s="63"/>
    </row>
    <row r="42" spans="1:10" ht="12.6" customHeight="1">
      <c r="A42" s="82"/>
      <c r="B42" s="65"/>
      <c r="C42" s="65"/>
      <c r="D42" s="154"/>
      <c r="E42" s="66" t="s">
        <v>92</v>
      </c>
      <c r="F42" s="67" t="s">
        <v>109</v>
      </c>
      <c r="G42" s="68"/>
      <c r="H42" s="63" t="s">
        <v>137</v>
      </c>
      <c r="I42" s="63"/>
    </row>
    <row r="43" spans="1:10" ht="12.6" customHeight="1" thickBot="1">
      <c r="A43" s="83"/>
      <c r="B43" s="84"/>
      <c r="C43" s="84"/>
      <c r="D43" s="159"/>
      <c r="E43" s="85"/>
      <c r="F43" s="86"/>
      <c r="G43" s="87"/>
      <c r="H43" s="88" t="s">
        <v>128</v>
      </c>
      <c r="I43" s="88"/>
    </row>
    <row r="44" spans="1:10">
      <c r="A44" s="50" t="s">
        <v>122</v>
      </c>
      <c r="B44" s="89" t="s">
        <v>9</v>
      </c>
      <c r="C44" s="52" t="s">
        <v>10</v>
      </c>
      <c r="D44" s="152"/>
      <c r="E44" s="53" t="s">
        <v>89</v>
      </c>
      <c r="F44" s="54" t="s">
        <v>100</v>
      </c>
      <c r="G44" s="55" t="s">
        <v>107</v>
      </c>
      <c r="H44" s="56" t="s">
        <v>124</v>
      </c>
      <c r="I44" s="56"/>
      <c r="J44" s="41"/>
    </row>
    <row r="45" spans="1:10">
      <c r="A45" s="57" t="s">
        <v>122</v>
      </c>
      <c r="B45" s="58" t="s">
        <v>13</v>
      </c>
      <c r="C45" s="58" t="s">
        <v>14</v>
      </c>
      <c r="D45" s="156"/>
      <c r="E45" s="60" t="s">
        <v>89</v>
      </c>
      <c r="F45" s="61" t="s">
        <v>101</v>
      </c>
      <c r="G45" s="62"/>
      <c r="H45" s="63" t="s">
        <v>134</v>
      </c>
      <c r="I45" s="63"/>
    </row>
    <row r="46" spans="1:10">
      <c r="A46" s="57" t="s">
        <v>122</v>
      </c>
      <c r="B46" s="58" t="s">
        <v>33</v>
      </c>
      <c r="C46" s="58" t="s">
        <v>34</v>
      </c>
      <c r="D46" s="156"/>
      <c r="E46" s="60" t="s">
        <v>89</v>
      </c>
      <c r="F46" s="67" t="s">
        <v>102</v>
      </c>
      <c r="G46" s="68"/>
      <c r="H46" s="63" t="s">
        <v>137</v>
      </c>
      <c r="I46" s="63"/>
    </row>
    <row r="47" spans="1:10" ht="13.5" thickBot="1">
      <c r="A47" s="75" t="s">
        <v>122</v>
      </c>
      <c r="B47" s="76" t="s">
        <v>57</v>
      </c>
      <c r="C47" s="76" t="s">
        <v>58</v>
      </c>
      <c r="D47" s="157"/>
      <c r="E47" s="77" t="s">
        <v>89</v>
      </c>
      <c r="F47" s="78"/>
      <c r="G47" s="79"/>
      <c r="H47" s="80" t="s">
        <v>135</v>
      </c>
      <c r="I47" s="80"/>
    </row>
  </sheetData>
  <autoFilter ref="A3:E43">
    <sortState ref="A4:H43">
      <sortCondition ref="E3:E43"/>
    </sortState>
  </autoFilter>
  <phoneticPr fontId="9" type="noConversion"/>
  <hyperlinks>
    <hyperlink ref="F14" r:id="rId1"/>
    <hyperlink ref="F22" r:id="rId2"/>
    <hyperlink ref="F26" r:id="rId3"/>
    <hyperlink ref="F18" r:id="rId4"/>
    <hyperlink ref="F46" r:id="rId5"/>
    <hyperlink ref="F38" r:id="rId6"/>
    <hyperlink ref="F34" r:id="rId7"/>
    <hyperlink ref="F30" r:id="rId8"/>
    <hyperlink ref="F42" r:id="rId9"/>
    <hyperlink ref="F6" r:id="rId10"/>
    <hyperlink ref="F10" r:id="rId11"/>
  </hyperlinks>
  <pageMargins left="0.75" right="0.75" top="1" bottom="1" header="0.5" footer="0.5"/>
  <pageSetup scale="68" orientation="portrait" horizontalDpi="300" verticalDpi="300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5" name="Button 1">
              <controlPr defaultSize="0" print="0" autoFill="0" autoPict="0" macro="[0]!CreateMarkingForm">
                <anchor moveWithCells="1" sizeWithCells="1"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5</xdr:col>
                    <xdr:colOff>1485900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59"/>
  <sheetViews>
    <sheetView tabSelected="1" zoomScale="80" zoomScaleNormal="80" workbookViewId="0">
      <selection activeCell="A2" sqref="A2:I2"/>
    </sheetView>
  </sheetViews>
  <sheetFormatPr defaultRowHeight="12.75"/>
  <cols>
    <col min="1" max="1" width="9.140625" style="91"/>
    <col min="2" max="2" width="22.28515625" style="91" customWidth="1"/>
    <col min="3" max="3" width="24.28515625" style="91" customWidth="1"/>
    <col min="4" max="4" width="15.85546875" style="91" customWidth="1"/>
    <col min="5" max="5" width="17.140625" style="91" customWidth="1"/>
    <col min="6" max="9" width="15.7109375" style="91" customWidth="1"/>
    <col min="10" max="10" width="13.5703125" style="91" customWidth="1"/>
    <col min="11" max="16384" width="9.140625" style="91"/>
  </cols>
  <sheetData>
    <row r="1" spans="1:9" ht="18">
      <c r="A1" s="139" t="s">
        <v>182</v>
      </c>
      <c r="B1" s="139"/>
      <c r="C1" s="139"/>
      <c r="D1" s="139"/>
      <c r="E1" s="139"/>
      <c r="F1" s="139"/>
      <c r="G1" s="139"/>
      <c r="H1" s="139"/>
      <c r="I1" s="139"/>
    </row>
    <row r="2" spans="1:9" s="94" customFormat="1" ht="20.25">
      <c r="A2" s="143" t="s">
        <v>181</v>
      </c>
      <c r="B2" s="143"/>
      <c r="C2" s="143"/>
      <c r="D2" s="143"/>
      <c r="E2" s="143"/>
      <c r="F2" s="143"/>
      <c r="G2" s="143"/>
      <c r="H2" s="143"/>
      <c r="I2" s="143"/>
    </row>
    <row r="3" spans="1:9" s="94" customFormat="1" ht="15.75">
      <c r="A3" s="98"/>
      <c r="B3" s="98"/>
      <c r="C3" s="98"/>
      <c r="D3" s="98"/>
      <c r="E3" s="98"/>
      <c r="F3" s="131"/>
      <c r="G3" s="131"/>
      <c r="H3" s="131"/>
      <c r="I3" s="131"/>
    </row>
    <row r="4" spans="1:9" s="94" customFormat="1" ht="16.5" thickBot="1">
      <c r="A4" s="98"/>
      <c r="B4" s="98" t="s">
        <v>180</v>
      </c>
      <c r="C4" s="128"/>
      <c r="D4" s="98"/>
      <c r="E4" s="137" t="s">
        <v>179</v>
      </c>
      <c r="F4" s="137"/>
      <c r="G4" s="142"/>
      <c r="H4" s="142"/>
      <c r="I4" s="142"/>
    </row>
    <row r="5" spans="1:9" s="94" customFormat="1" ht="16.5" thickBot="1">
      <c r="A5" s="98"/>
      <c r="B5" s="98" t="s">
        <v>178</v>
      </c>
      <c r="C5" s="127"/>
      <c r="D5" s="98"/>
      <c r="E5" s="137" t="s">
        <v>177</v>
      </c>
      <c r="F5" s="137"/>
      <c r="G5" s="141"/>
      <c r="H5" s="141"/>
      <c r="I5" s="141"/>
    </row>
    <row r="6" spans="1:9" s="94" customFormat="1" ht="16.5" thickBot="1">
      <c r="A6" s="98"/>
      <c r="B6" s="126" t="s">
        <v>176</v>
      </c>
      <c r="C6" s="124"/>
      <c r="D6" s="98"/>
      <c r="E6" s="137" t="s">
        <v>175</v>
      </c>
      <c r="F6" s="137"/>
      <c r="G6" s="141"/>
      <c r="H6" s="141"/>
      <c r="I6" s="141"/>
    </row>
    <row r="7" spans="1:9" s="94" customFormat="1" ht="16.5" thickBot="1">
      <c r="A7" s="98"/>
      <c r="B7" s="125" t="s">
        <v>162</v>
      </c>
      <c r="C7" s="124"/>
      <c r="D7" s="98"/>
      <c r="E7" s="137" t="s">
        <v>174</v>
      </c>
      <c r="F7" s="137"/>
      <c r="G7" s="144">
        <f>COUNTA(C6:C9)</f>
        <v>0</v>
      </c>
      <c r="H7" s="144"/>
      <c r="I7" s="144"/>
    </row>
    <row r="8" spans="1:9" s="94" customFormat="1" ht="16.5" thickBot="1">
      <c r="A8" s="98"/>
      <c r="B8" s="125" t="s">
        <v>161</v>
      </c>
      <c r="C8" s="124"/>
      <c r="D8" s="98"/>
      <c r="E8" s="137" t="s">
        <v>173</v>
      </c>
      <c r="F8" s="137"/>
      <c r="G8" s="141"/>
      <c r="H8" s="141"/>
      <c r="I8" s="141"/>
    </row>
    <row r="9" spans="1:9" s="94" customFormat="1" ht="16.5" thickBot="1">
      <c r="A9" s="98"/>
      <c r="B9" s="125" t="s">
        <v>160</v>
      </c>
      <c r="C9" s="124"/>
      <c r="D9" s="98"/>
      <c r="E9" s="137" t="s">
        <v>172</v>
      </c>
      <c r="F9" s="137"/>
      <c r="G9" s="137"/>
      <c r="H9" s="137"/>
      <c r="I9" s="137"/>
    </row>
    <row r="10" spans="1:9" s="94" customFormat="1" ht="15.75">
      <c r="A10" s="98"/>
      <c r="B10" s="98"/>
      <c r="C10" s="108"/>
      <c r="D10" s="98"/>
      <c r="E10" s="98"/>
      <c r="F10" s="98"/>
      <c r="G10" s="98"/>
      <c r="H10" s="98"/>
      <c r="I10" s="98"/>
    </row>
    <row r="11" spans="1:9" s="94" customFormat="1" ht="18.75">
      <c r="A11" s="132" t="s">
        <v>171</v>
      </c>
      <c r="B11" s="132"/>
      <c r="C11" s="132"/>
      <c r="D11" s="132"/>
      <c r="E11" s="132"/>
      <c r="F11" s="132"/>
      <c r="G11" s="132"/>
      <c r="H11" s="132"/>
      <c r="I11" s="132"/>
    </row>
    <row r="12" spans="1:9" s="94" customFormat="1" ht="16.5" thickBot="1">
      <c r="A12" s="98"/>
      <c r="B12" s="140"/>
      <c r="C12" s="140"/>
      <c r="D12" s="140"/>
      <c r="E12" s="123" t="s">
        <v>170</v>
      </c>
      <c r="F12" s="122" t="s">
        <v>145</v>
      </c>
    </row>
    <row r="13" spans="1:9" s="94" customFormat="1" ht="15.75">
      <c r="A13" s="106">
        <v>1</v>
      </c>
      <c r="B13" s="133" t="s">
        <v>169</v>
      </c>
      <c r="C13" s="133"/>
      <c r="D13" s="133"/>
      <c r="E13" s="101">
        <v>1.4999999999999999E-2</v>
      </c>
      <c r="F13" s="121"/>
      <c r="G13" s="119"/>
      <c r="H13" s="119"/>
      <c r="I13" s="119"/>
    </row>
    <row r="14" spans="1:9" s="94" customFormat="1" ht="17.25" customHeight="1">
      <c r="A14" s="106">
        <v>2</v>
      </c>
      <c r="B14" s="138" t="s">
        <v>168</v>
      </c>
      <c r="C14" s="133"/>
      <c r="D14" s="133"/>
      <c r="E14" s="101">
        <v>0.03</v>
      </c>
      <c r="F14" s="120"/>
      <c r="G14" s="119"/>
      <c r="H14" s="119"/>
      <c r="I14" s="119"/>
    </row>
    <row r="15" spans="1:9" s="94" customFormat="1" ht="31.5" customHeight="1">
      <c r="A15" s="106">
        <v>3</v>
      </c>
      <c r="B15" s="138" t="s">
        <v>167</v>
      </c>
      <c r="C15" s="133"/>
      <c r="D15" s="133"/>
      <c r="E15" s="101">
        <v>4.4999999999999998E-2</v>
      </c>
      <c r="F15" s="120"/>
      <c r="G15" s="119"/>
      <c r="H15" s="119"/>
      <c r="I15" s="119"/>
    </row>
    <row r="16" spans="1:9" s="94" customFormat="1" ht="15.75">
      <c r="A16" s="106">
        <v>4</v>
      </c>
      <c r="B16" s="131" t="s">
        <v>166</v>
      </c>
      <c r="C16" s="131"/>
      <c r="D16" s="131"/>
      <c r="E16" s="101">
        <v>0.03</v>
      </c>
      <c r="F16" s="120"/>
      <c r="G16" s="119"/>
      <c r="H16" s="119"/>
      <c r="I16" s="119"/>
    </row>
    <row r="17" spans="1:10" s="94" customFormat="1" ht="15.75">
      <c r="A17" s="106">
        <v>5</v>
      </c>
      <c r="B17" s="131" t="s">
        <v>165</v>
      </c>
      <c r="C17" s="131"/>
      <c r="D17" s="131"/>
      <c r="E17" s="101">
        <v>0.03</v>
      </c>
      <c r="F17" s="120"/>
      <c r="G17" s="119"/>
      <c r="H17" s="119"/>
      <c r="I17" s="119"/>
    </row>
    <row r="18" spans="1:10" s="94" customFormat="1" ht="16.5" thickBot="1">
      <c r="A18" s="110"/>
      <c r="B18" s="131"/>
      <c r="C18" s="131"/>
      <c r="D18" s="131"/>
      <c r="E18" s="97" t="s">
        <v>164</v>
      </c>
      <c r="F18" s="118">
        <f>ROUND((F13*$E13+F14*$E14+F15*$E15+F16*$E16+F17*$E17)*10, 1)</f>
        <v>0</v>
      </c>
      <c r="G18" s="117"/>
      <c r="H18" s="117"/>
      <c r="I18" s="117"/>
    </row>
    <row r="19" spans="1:10" s="94" customFormat="1" ht="15.75">
      <c r="A19" s="110"/>
      <c r="B19" s="98"/>
      <c r="C19" s="98"/>
      <c r="D19" s="98"/>
      <c r="E19" s="97"/>
      <c r="F19" s="108"/>
      <c r="G19" s="108"/>
      <c r="H19" s="108"/>
      <c r="I19" s="108"/>
    </row>
    <row r="20" spans="1:10" s="94" customFormat="1" ht="16.5" thickBot="1">
      <c r="A20" s="110"/>
      <c r="B20" s="98"/>
      <c r="C20" s="98"/>
      <c r="D20" s="98"/>
      <c r="E20" s="97"/>
      <c r="F20" s="116" t="s">
        <v>163</v>
      </c>
      <c r="G20" s="116" t="s">
        <v>162</v>
      </c>
      <c r="H20" s="116" t="s">
        <v>161</v>
      </c>
      <c r="I20" s="116" t="s">
        <v>160</v>
      </c>
    </row>
    <row r="21" spans="1:10" s="94" customFormat="1" ht="34.5" customHeight="1" thickBot="1">
      <c r="A21" s="110"/>
      <c r="B21" s="98"/>
      <c r="C21" s="115" t="str">
        <f>IF(ISBLANK(F21),"", IF(OR(SUM(F21:I21)&lt;99.9,SUM(F21:I21)&gt;100.1),"Sum != 100",""))</f>
        <v/>
      </c>
      <c r="D21" s="114" t="str">
        <f>IF(ISBLANK(F21),"", IF(COUNTA(F21:I21)&lt;&gt;G7,"Incorrect No.of Students",""))</f>
        <v/>
      </c>
      <c r="E21" s="113" t="s">
        <v>159</v>
      </c>
      <c r="F21" s="104"/>
      <c r="G21" s="104"/>
      <c r="H21" s="104"/>
      <c r="I21" s="104"/>
      <c r="J21" s="112"/>
    </row>
    <row r="22" spans="1:10" s="94" customFormat="1" ht="16.5" thickBot="1">
      <c r="A22" s="110"/>
      <c r="B22" s="98"/>
      <c r="C22" s="98"/>
      <c r="D22" s="98"/>
      <c r="E22" s="97" t="s">
        <v>158</v>
      </c>
      <c r="F22" s="111" t="str">
        <f>IF(ISBLANK(F21),"",ROUND($F$18*0.4,1))</f>
        <v/>
      </c>
      <c r="G22" s="111" t="str">
        <f>IF(ISBLANK(G21),"",ROUND($F$18*0.4,1))</f>
        <v/>
      </c>
      <c r="H22" s="111" t="str">
        <f>IF(ISBLANK(H21),"",ROUND($F$18*0.4,1))</f>
        <v/>
      </c>
      <c r="I22" s="111" t="str">
        <f>IF(ISBLANK(I21),"",ROUND($F$18*0.4,1))</f>
        <v/>
      </c>
    </row>
    <row r="23" spans="1:10" s="94" customFormat="1" ht="16.5" thickBot="1">
      <c r="A23" s="110"/>
      <c r="B23" s="98"/>
      <c r="C23" s="98"/>
      <c r="D23" s="98"/>
      <c r="E23" s="97" t="s">
        <v>157</v>
      </c>
      <c r="F23" s="111" t="str">
        <f>IF(ISBLANK(F21),"",ROUND($F$18*0.6*F21/100*$G$7,1))</f>
        <v/>
      </c>
      <c r="G23" s="111" t="str">
        <f>IF(ISBLANK(G21),"",ROUND($F$18*0.6*G21/100*$G$7,1))</f>
        <v/>
      </c>
      <c r="H23" s="111" t="str">
        <f>IF(ISBLANK(H21),"",ROUND($F$18*0.6*H21/100*$G$7,1))</f>
        <v/>
      </c>
      <c r="I23" s="111" t="str">
        <f>IF(ISBLANK(I21),"",ROUND($F$18*0.6*I21/100*$G$7,1))</f>
        <v/>
      </c>
    </row>
    <row r="24" spans="1:10" s="94" customFormat="1" ht="15.75">
      <c r="A24" s="110"/>
      <c r="B24" s="98"/>
      <c r="C24" s="98"/>
      <c r="D24" s="98"/>
      <c r="E24" s="97"/>
    </row>
    <row r="25" spans="1:10" s="94" customFormat="1" ht="16.5" thickBot="1">
      <c r="A25" s="110"/>
      <c r="B25" s="98"/>
      <c r="C25" s="98"/>
      <c r="D25" s="98"/>
      <c r="E25" s="97"/>
      <c r="F25" s="135" t="s">
        <v>145</v>
      </c>
      <c r="G25" s="135"/>
      <c r="H25" s="135"/>
      <c r="I25" s="135"/>
    </row>
    <row r="26" spans="1:10" s="94" customFormat="1" ht="60.75" customHeight="1" thickBot="1">
      <c r="A26" s="106">
        <v>6</v>
      </c>
      <c r="B26" s="136" t="s">
        <v>156</v>
      </c>
      <c r="C26" s="137"/>
      <c r="D26" s="137"/>
      <c r="E26" s="109">
        <v>0.3</v>
      </c>
      <c r="F26" s="104"/>
      <c r="G26" s="104"/>
      <c r="H26" s="104"/>
      <c r="I26" s="104"/>
    </row>
    <row r="27" spans="1:10" s="94" customFormat="1" ht="16.5" thickBot="1">
      <c r="A27" s="98"/>
      <c r="B27" s="131"/>
      <c r="C27" s="131"/>
      <c r="D27" s="131"/>
      <c r="E27" s="97" t="s">
        <v>155</v>
      </c>
      <c r="F27" s="99" t="str">
        <f>IF(ISBLANK(F21),"",ROUND((F26*$E26)*10,1))</f>
        <v/>
      </c>
      <c r="G27" s="99" t="str">
        <f>IF(ISBLANK(G21),"",ROUND((G26*$E26)*10,1))</f>
        <v/>
      </c>
      <c r="H27" s="99" t="str">
        <f>IF(ISBLANK(H21),"",ROUND((H26*$E26)*10,1))</f>
        <v/>
      </c>
      <c r="I27" s="99" t="str">
        <f>IF(ISBLANK(I21),"",ROUND((I26*$E26)*10,1))</f>
        <v/>
      </c>
    </row>
    <row r="28" spans="1:10" s="94" customFormat="1" ht="15.75">
      <c r="A28" s="98"/>
      <c r="B28" s="98"/>
      <c r="C28" s="98"/>
      <c r="D28" s="98"/>
      <c r="E28" s="97"/>
      <c r="F28" s="108"/>
      <c r="G28" s="107"/>
      <c r="H28" s="107"/>
      <c r="I28" s="107"/>
    </row>
    <row r="29" spans="1:10" s="94" customFormat="1" ht="18.75">
      <c r="A29" s="132" t="s">
        <v>154</v>
      </c>
      <c r="B29" s="132"/>
      <c r="C29" s="132"/>
      <c r="D29" s="132"/>
      <c r="E29" s="132"/>
      <c r="F29" s="132"/>
      <c r="G29" s="132"/>
      <c r="H29" s="132"/>
      <c r="I29" s="132"/>
    </row>
    <row r="30" spans="1:10" s="94" customFormat="1" ht="16.5" thickBot="1">
      <c r="F30" s="135" t="s">
        <v>145</v>
      </c>
      <c r="G30" s="135"/>
      <c r="H30" s="135"/>
      <c r="I30" s="135"/>
    </row>
    <row r="31" spans="1:10" s="94" customFormat="1" ht="31.5" customHeight="1" thickBot="1">
      <c r="A31" s="106">
        <v>1</v>
      </c>
      <c r="B31" s="138" t="s">
        <v>153</v>
      </c>
      <c r="C31" s="133"/>
      <c r="D31" s="133"/>
      <c r="E31" s="105">
        <v>0.01</v>
      </c>
      <c r="F31" s="104"/>
      <c r="G31" s="104"/>
      <c r="H31" s="104"/>
      <c r="I31" s="104"/>
    </row>
    <row r="32" spans="1:10" s="94" customFormat="1" ht="16.5" thickBot="1">
      <c r="A32" s="106">
        <v>2</v>
      </c>
      <c r="B32" s="133" t="s">
        <v>152</v>
      </c>
      <c r="C32" s="133"/>
      <c r="D32" s="133"/>
      <c r="E32" s="105">
        <v>0.01</v>
      </c>
      <c r="F32" s="100"/>
      <c r="G32" s="100"/>
      <c r="H32" s="100"/>
      <c r="I32" s="100"/>
    </row>
    <row r="33" spans="1:9" s="94" customFormat="1" ht="16.5" thickBot="1">
      <c r="A33" s="106">
        <v>3</v>
      </c>
      <c r="B33" s="133" t="s">
        <v>151</v>
      </c>
      <c r="C33" s="133"/>
      <c r="D33" s="133"/>
      <c r="E33" s="105">
        <v>5.0000000000000001E-3</v>
      </c>
      <c r="F33" s="100"/>
      <c r="G33" s="100"/>
      <c r="H33" s="100"/>
      <c r="I33" s="100"/>
    </row>
    <row r="34" spans="1:9" s="94" customFormat="1" ht="16.5" thickBot="1">
      <c r="A34" s="106">
        <v>4</v>
      </c>
      <c r="B34" s="133" t="s">
        <v>150</v>
      </c>
      <c r="C34" s="133"/>
      <c r="D34" s="133"/>
      <c r="E34" s="105">
        <v>5.0000000000000001E-3</v>
      </c>
      <c r="F34" s="100"/>
      <c r="G34" s="100"/>
      <c r="H34" s="100"/>
      <c r="I34" s="100"/>
    </row>
    <row r="35" spans="1:9" s="94" customFormat="1" ht="16.5" thickBot="1">
      <c r="A35" s="106">
        <v>5</v>
      </c>
      <c r="B35" s="133" t="s">
        <v>149</v>
      </c>
      <c r="C35" s="133"/>
      <c r="D35" s="133"/>
      <c r="E35" s="105">
        <v>0.01</v>
      </c>
      <c r="F35" s="100"/>
      <c r="G35" s="100"/>
      <c r="H35" s="100"/>
      <c r="I35" s="100"/>
    </row>
    <row r="36" spans="1:9" s="94" customFormat="1" ht="16.5" thickBot="1">
      <c r="A36" s="106">
        <v>6</v>
      </c>
      <c r="B36" s="133" t="s">
        <v>148</v>
      </c>
      <c r="C36" s="133"/>
      <c r="D36" s="133"/>
      <c r="E36" s="105">
        <v>0.01</v>
      </c>
      <c r="F36" s="100"/>
      <c r="G36" s="100"/>
      <c r="H36" s="100"/>
      <c r="I36" s="100"/>
    </row>
    <row r="37" spans="1:9" s="94" customFormat="1" ht="16.5" thickBot="1">
      <c r="A37" s="98"/>
      <c r="B37" s="131"/>
      <c r="C37" s="131"/>
      <c r="D37" s="131"/>
      <c r="E37" s="98"/>
      <c r="F37" s="134"/>
      <c r="G37" s="134"/>
      <c r="H37" s="134"/>
      <c r="I37" s="134"/>
    </row>
    <row r="38" spans="1:9" s="94" customFormat="1" ht="16.5" thickBot="1">
      <c r="A38" s="98"/>
      <c r="B38" s="131"/>
      <c r="C38" s="131"/>
      <c r="D38" s="131"/>
      <c r="E38" s="97" t="s">
        <v>147</v>
      </c>
      <c r="F38" s="99" t="str">
        <f>IF(ISBLANK(F21),"",ROUND((F31*$E31+F32*$E32+F33*$E33+F34*$E34+F35*$E35+F36*$E36)*10,1))</f>
        <v/>
      </c>
      <c r="G38" s="99" t="str">
        <f>IF(ISBLANK(G21),"",ROUND((G31*$E31+G32*$E32+G33*$E33+G34*$E34+G35*$E35+G36*$E36)*10,1))</f>
        <v/>
      </c>
      <c r="H38" s="99" t="str">
        <f>IF(ISBLANK(H21),"",ROUND((H31*$E31+H32*$E32+H33*$E33+H34*$E34+H35*$E35+H36*$E36)*10,1))</f>
        <v/>
      </c>
      <c r="I38" s="99" t="str">
        <f>IF(ISBLANK(I21),"",ROUND((I31*$E31+I32*$E32+I33*$E33+I34*$E34+I35*$E35+I36*$E36)*10,1))</f>
        <v/>
      </c>
    </row>
    <row r="39" spans="1:9" s="94" customFormat="1"/>
    <row r="40" spans="1:9" s="94" customFormat="1" ht="18.75">
      <c r="A40" s="132" t="s">
        <v>146</v>
      </c>
      <c r="B40" s="132"/>
      <c r="C40" s="132"/>
      <c r="D40" s="132"/>
      <c r="E40" s="132"/>
      <c r="F40" s="132"/>
      <c r="G40" s="132"/>
      <c r="H40" s="132"/>
      <c r="I40" s="132"/>
    </row>
    <row r="41" spans="1:9" s="94" customFormat="1" ht="16.5" thickBot="1">
      <c r="F41" s="135" t="s">
        <v>145</v>
      </c>
      <c r="G41" s="135"/>
      <c r="H41" s="135"/>
      <c r="I41" s="135"/>
    </row>
    <row r="42" spans="1:9" s="94" customFormat="1" ht="16.5" thickBot="1">
      <c r="A42" s="97">
        <v>1</v>
      </c>
      <c r="B42" s="133" t="s">
        <v>144</v>
      </c>
      <c r="C42" s="133"/>
      <c r="D42" s="133"/>
      <c r="E42" s="101">
        <v>0.02</v>
      </c>
      <c r="F42" s="104"/>
      <c r="G42" s="102"/>
      <c r="H42" s="102"/>
      <c r="I42" s="102"/>
    </row>
    <row r="43" spans="1:9" s="94" customFormat="1" ht="16.5" thickBot="1">
      <c r="A43" s="97">
        <v>2</v>
      </c>
      <c r="B43" s="133" t="s">
        <v>143</v>
      </c>
      <c r="C43" s="133"/>
      <c r="D43" s="133"/>
      <c r="E43" s="101">
        <v>0.02</v>
      </c>
      <c r="F43" s="100"/>
      <c r="G43" s="103"/>
      <c r="H43" s="103"/>
      <c r="I43" s="102"/>
    </row>
    <row r="44" spans="1:9" s="94" customFormat="1" ht="16.5" thickBot="1">
      <c r="A44" s="97">
        <v>3</v>
      </c>
      <c r="B44" s="133" t="s">
        <v>142</v>
      </c>
      <c r="C44" s="133"/>
      <c r="D44" s="133"/>
      <c r="E44" s="101">
        <v>0.02</v>
      </c>
      <c r="F44" s="100"/>
      <c r="G44" s="103"/>
      <c r="H44" s="103"/>
      <c r="I44" s="102"/>
    </row>
    <row r="45" spans="1:9" s="94" customFormat="1" ht="16.5" thickBot="1">
      <c r="A45" s="97">
        <v>4</v>
      </c>
      <c r="B45" s="133" t="s">
        <v>141</v>
      </c>
      <c r="C45" s="133"/>
      <c r="D45" s="133"/>
      <c r="E45" s="101">
        <v>0.02</v>
      </c>
      <c r="F45" s="100"/>
      <c r="G45" s="103"/>
      <c r="H45" s="103"/>
      <c r="I45" s="102"/>
    </row>
    <row r="46" spans="1:9" s="94" customFormat="1" ht="16.5" thickBot="1">
      <c r="A46" s="97">
        <v>5</v>
      </c>
      <c r="B46" s="133" t="s">
        <v>140</v>
      </c>
      <c r="C46" s="133"/>
      <c r="D46" s="133"/>
      <c r="E46" s="101">
        <v>0.02</v>
      </c>
      <c r="F46" s="100"/>
      <c r="G46" s="100"/>
      <c r="H46" s="100"/>
      <c r="I46" s="100"/>
    </row>
    <row r="47" spans="1:9" s="94" customFormat="1" ht="16.5" thickBot="1">
      <c r="A47" s="98"/>
      <c r="B47" s="131"/>
      <c r="C47" s="131"/>
      <c r="D47" s="131"/>
      <c r="E47" s="98"/>
      <c r="F47" s="134"/>
      <c r="G47" s="134"/>
      <c r="H47" s="134"/>
      <c r="I47" s="134"/>
    </row>
    <row r="48" spans="1:9" s="94" customFormat="1" ht="16.5" thickBot="1">
      <c r="A48" s="98"/>
      <c r="B48" s="131"/>
      <c r="C48" s="131"/>
      <c r="D48" s="131"/>
      <c r="E48" s="97" t="s">
        <v>139</v>
      </c>
      <c r="F48" s="99" t="str">
        <f>IF(ISBLANK(F21),"",ROUND((F42*$E42+F43*$E43+F44*$E44+F45*$E45+F46*$E46)*10,1))</f>
        <v/>
      </c>
      <c r="G48" s="99" t="str">
        <f>IF(ISBLANK(G21),"",ROUND((G42*$E42+G43*$E43+G44*$E44+G45*$E45+G46*$E46)*10,1))</f>
        <v/>
      </c>
      <c r="H48" s="99" t="str">
        <f>IF(ISBLANK(H21),"",ROUND((H42*$E42+H43*$E43+H44*$E44+H45*$E45+H46*$E46)*10,1))</f>
        <v/>
      </c>
      <c r="I48" s="99" t="str">
        <f>IF(ISBLANK(I21),"",ROUND((I42*$E42+I43*$E43+I44*$E44+I45*$E45+I46*$E46)*10,1))</f>
        <v/>
      </c>
    </row>
    <row r="49" spans="1:9" s="94" customFormat="1" ht="16.5" thickBot="1">
      <c r="A49" s="98"/>
      <c r="B49" s="98"/>
      <c r="C49" s="98"/>
      <c r="D49" s="98"/>
      <c r="E49" s="97"/>
    </row>
    <row r="50" spans="1:9" s="94" customFormat="1" ht="16.5" thickBot="1">
      <c r="E50" s="96" t="s">
        <v>138</v>
      </c>
      <c r="F50" s="95" t="str">
        <f>IF(ISBLANK(F21),"",F22+F23+F27+F38+F48)</f>
        <v/>
      </c>
      <c r="G50" s="95" t="str">
        <f>IF(ISBLANK(G21),"",G22+G23+G27+G38+G48)</f>
        <v/>
      </c>
      <c r="H50" s="95" t="str">
        <f>IF(ISBLANK(H21),"",H22+H23+H27+H38+H48)</f>
        <v/>
      </c>
      <c r="I50" s="95" t="str">
        <f>IF(ISBLANK(I21),"",I22+I23+I27+I38+I48)</f>
        <v/>
      </c>
    </row>
    <row r="51" spans="1:9" ht="16.5">
      <c r="A51" s="93"/>
      <c r="B51" s="93"/>
      <c r="C51" s="93"/>
      <c r="D51" s="93"/>
      <c r="E51" s="92"/>
    </row>
    <row r="52" spans="1:9" ht="16.5">
      <c r="A52" s="93"/>
      <c r="B52" s="93"/>
      <c r="C52" s="93"/>
      <c r="D52" s="93"/>
      <c r="E52" s="92"/>
    </row>
    <row r="53" spans="1:9" ht="16.5">
      <c r="A53" s="93"/>
      <c r="B53" s="93"/>
      <c r="C53" s="93"/>
      <c r="D53" s="93"/>
      <c r="E53" s="92"/>
    </row>
    <row r="54" spans="1:9" ht="16.5">
      <c r="A54" s="93"/>
      <c r="B54" s="93"/>
      <c r="C54" s="93"/>
      <c r="D54" s="93"/>
      <c r="E54" s="92"/>
    </row>
    <row r="55" spans="1:9" ht="16.5">
      <c r="A55" s="93"/>
      <c r="B55" s="93"/>
      <c r="C55" s="93"/>
      <c r="D55" s="93"/>
      <c r="E55" s="92"/>
    </row>
    <row r="56" spans="1:9" ht="16.5">
      <c r="A56" s="93"/>
      <c r="B56" s="93"/>
      <c r="C56" s="93"/>
      <c r="D56" s="93"/>
      <c r="E56" s="92"/>
    </row>
    <row r="57" spans="1:9" ht="16.5">
      <c r="A57" s="93"/>
      <c r="B57" s="93"/>
      <c r="C57" s="93"/>
      <c r="D57" s="93"/>
      <c r="E57" s="92"/>
    </row>
    <row r="58" spans="1:9" ht="16.5">
      <c r="A58" s="93"/>
      <c r="B58" s="93"/>
      <c r="C58" s="93"/>
      <c r="D58" s="93"/>
      <c r="E58" s="92"/>
    </row>
    <row r="59" spans="1:9" ht="16.5">
      <c r="A59" s="93"/>
      <c r="B59" s="93"/>
      <c r="C59" s="93"/>
      <c r="D59" s="93"/>
      <c r="E59" s="92"/>
    </row>
  </sheetData>
  <mergeCells count="46">
    <mergeCell ref="F25:I25"/>
    <mergeCell ref="A11:I11"/>
    <mergeCell ref="E9:I9"/>
    <mergeCell ref="E6:F6"/>
    <mergeCell ref="E7:F7"/>
    <mergeCell ref="G6:I6"/>
    <mergeCell ref="G7:I7"/>
    <mergeCell ref="G8:I8"/>
    <mergeCell ref="B16:D16"/>
    <mergeCell ref="A1:I1"/>
    <mergeCell ref="A29:I29"/>
    <mergeCell ref="F3:I3"/>
    <mergeCell ref="B12:D12"/>
    <mergeCell ref="B13:D13"/>
    <mergeCell ref="B14:D14"/>
    <mergeCell ref="G5:I5"/>
    <mergeCell ref="G4:I4"/>
    <mergeCell ref="E4:F4"/>
    <mergeCell ref="E5:F5"/>
    <mergeCell ref="B17:D17"/>
    <mergeCell ref="B27:D27"/>
    <mergeCell ref="E8:F8"/>
    <mergeCell ref="B15:D15"/>
    <mergeCell ref="A2:I2"/>
    <mergeCell ref="B18:D18"/>
    <mergeCell ref="B38:D38"/>
    <mergeCell ref="B32:D32"/>
    <mergeCell ref="B35:D35"/>
    <mergeCell ref="B37:D37"/>
    <mergeCell ref="B33:D33"/>
    <mergeCell ref="B34:D34"/>
    <mergeCell ref="F37:I37"/>
    <mergeCell ref="F30:I30"/>
    <mergeCell ref="B26:D26"/>
    <mergeCell ref="B31:D31"/>
    <mergeCell ref="B36:D36"/>
    <mergeCell ref="B48:D48"/>
    <mergeCell ref="A40:I40"/>
    <mergeCell ref="B42:D42"/>
    <mergeCell ref="B43:D43"/>
    <mergeCell ref="B44:D44"/>
    <mergeCell ref="B46:D46"/>
    <mergeCell ref="B47:D47"/>
    <mergeCell ref="B45:D45"/>
    <mergeCell ref="F47:I47"/>
    <mergeCell ref="F41:I41"/>
  </mergeCells>
  <phoneticPr fontId="9" type="noConversion"/>
  <pageMargins left="0.42" right="0.32" top="0.5" bottom="0.48" header="0.5" footer="0.5"/>
  <pageSetup paperSize="9" scale="6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Group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Cristal CHOI</dc:creator>
  <cp:lastModifiedBy>cyrus</cp:lastModifiedBy>
  <cp:lastPrinted>2015-04-20T10:23:33Z</cp:lastPrinted>
  <dcterms:created xsi:type="dcterms:W3CDTF">2013-09-03T02:48:05Z</dcterms:created>
  <dcterms:modified xsi:type="dcterms:W3CDTF">2015-05-06T08:15:09Z</dcterms:modified>
</cp:coreProperties>
</file>